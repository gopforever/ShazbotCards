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https://aneuron-my.sharepoint.com/personal/scottp_bfoxg_com/Documents/Documents/Cards/"/>
    </mc:Choice>
  </mc:AlternateContent>
  <xr:revisionPtr revIDLastSave="0" documentId="8_{C7696386-759B-4D76-8B5C-1A245DD89C10}" xr6:coauthVersionLast="47" xr6:coauthVersionMax="47" xr10:uidLastSave="{00000000-0000-0000-0000-000000000000}"/>
  <bookViews>
    <workbookView xWindow="2145" yWindow="2445" windowWidth="21600" windowHeight="11295" xr2:uid="{00000000-000D-0000-FFFF-FFFF00000000}"/>
  </bookViews>
  <sheets>
    <sheet name="Per Card Cost" sheetId="1" r:id="rId1"/>
    <sheet name="Material Costs" sheetId="2" r:id="rId2"/>
    <sheet name="Settings"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E502" i="1" l="1"/>
  <c r="AA502" i="1"/>
  <c r="R502" i="1"/>
  <c r="O502" i="1"/>
  <c r="I502" i="1"/>
  <c r="H502" i="1"/>
  <c r="G502" i="1"/>
  <c r="F502" i="1"/>
  <c r="E502" i="1"/>
  <c r="D502" i="1"/>
  <c r="AE501" i="1"/>
  <c r="AA501" i="1"/>
  <c r="Z501" i="1"/>
  <c r="Y501" i="1"/>
  <c r="X501" i="1"/>
  <c r="W501" i="1"/>
  <c r="V501" i="1"/>
  <c r="U501" i="1"/>
  <c r="T501" i="1"/>
  <c r="S501" i="1"/>
  <c r="R501" i="1"/>
  <c r="Q501" i="1"/>
  <c r="O501" i="1"/>
  <c r="K501" i="1"/>
  <c r="I501" i="1"/>
  <c r="H501" i="1"/>
  <c r="G501" i="1"/>
  <c r="F501" i="1"/>
  <c r="E501" i="1"/>
  <c r="D501" i="1"/>
  <c r="AE500" i="1"/>
  <c r="AA500" i="1"/>
  <c r="Z500" i="1"/>
  <c r="Y500" i="1"/>
  <c r="X500" i="1"/>
  <c r="W500" i="1"/>
  <c r="V500" i="1"/>
  <c r="U500" i="1"/>
  <c r="T500" i="1"/>
  <c r="S500" i="1"/>
  <c r="R500" i="1"/>
  <c r="Q500" i="1"/>
  <c r="O500" i="1"/>
  <c r="K500" i="1"/>
  <c r="I500" i="1"/>
  <c r="H500" i="1"/>
  <c r="G500" i="1"/>
  <c r="F500" i="1"/>
  <c r="E500" i="1"/>
  <c r="D500" i="1"/>
  <c r="AE499" i="1"/>
  <c r="AA499" i="1"/>
  <c r="Z499" i="1"/>
  <c r="Y499" i="1"/>
  <c r="X499" i="1"/>
  <c r="W499" i="1"/>
  <c r="V499" i="1"/>
  <c r="U499" i="1"/>
  <c r="T499" i="1"/>
  <c r="S499" i="1"/>
  <c r="R499" i="1"/>
  <c r="Q499" i="1"/>
  <c r="O499" i="1"/>
  <c r="K499" i="1"/>
  <c r="I499" i="1"/>
  <c r="H499" i="1"/>
  <c r="G499" i="1"/>
  <c r="F499" i="1"/>
  <c r="E499" i="1"/>
  <c r="D499" i="1"/>
  <c r="AE498" i="1"/>
  <c r="AA498" i="1"/>
  <c r="Z498" i="1"/>
  <c r="Y498" i="1"/>
  <c r="X498" i="1"/>
  <c r="W498" i="1"/>
  <c r="V498" i="1"/>
  <c r="U498" i="1"/>
  <c r="T498" i="1"/>
  <c r="S498" i="1"/>
  <c r="R498" i="1"/>
  <c r="Q498" i="1"/>
  <c r="O498" i="1"/>
  <c r="K498" i="1"/>
  <c r="I498" i="1"/>
  <c r="H498" i="1"/>
  <c r="G498" i="1"/>
  <c r="F498" i="1"/>
  <c r="E498" i="1"/>
  <c r="D498" i="1"/>
  <c r="AE497" i="1"/>
  <c r="AA497" i="1"/>
  <c r="Z497" i="1"/>
  <c r="Y497" i="1"/>
  <c r="X497" i="1"/>
  <c r="W497" i="1"/>
  <c r="V497" i="1"/>
  <c r="U497" i="1"/>
  <c r="T497" i="1"/>
  <c r="S497" i="1"/>
  <c r="R497" i="1"/>
  <c r="Q497" i="1"/>
  <c r="O497" i="1"/>
  <c r="K497" i="1"/>
  <c r="I497" i="1"/>
  <c r="H497" i="1"/>
  <c r="G497" i="1"/>
  <c r="F497" i="1"/>
  <c r="E497" i="1"/>
  <c r="D497" i="1"/>
  <c r="AE496" i="1"/>
  <c r="AA496" i="1"/>
  <c r="Z496" i="1"/>
  <c r="Y496" i="1"/>
  <c r="X496" i="1"/>
  <c r="W496" i="1"/>
  <c r="V496" i="1"/>
  <c r="U496" i="1"/>
  <c r="T496" i="1"/>
  <c r="S496" i="1"/>
  <c r="R496" i="1"/>
  <c r="Q496" i="1"/>
  <c r="O496" i="1"/>
  <c r="K496" i="1"/>
  <c r="I496" i="1"/>
  <c r="H496" i="1"/>
  <c r="G496" i="1"/>
  <c r="F496" i="1"/>
  <c r="E496" i="1"/>
  <c r="D496" i="1"/>
  <c r="AE495" i="1"/>
  <c r="AA495" i="1"/>
  <c r="Z495" i="1"/>
  <c r="Y495" i="1"/>
  <c r="X495" i="1"/>
  <c r="W495" i="1"/>
  <c r="V495" i="1"/>
  <c r="U495" i="1"/>
  <c r="T495" i="1"/>
  <c r="S495" i="1"/>
  <c r="R495" i="1"/>
  <c r="Q495" i="1"/>
  <c r="O495" i="1"/>
  <c r="K495" i="1"/>
  <c r="I495" i="1"/>
  <c r="H495" i="1"/>
  <c r="G495" i="1"/>
  <c r="F495" i="1"/>
  <c r="E495" i="1"/>
  <c r="D495" i="1"/>
  <c r="AE494" i="1"/>
  <c r="AA494" i="1"/>
  <c r="Z494" i="1"/>
  <c r="Y494" i="1"/>
  <c r="X494" i="1"/>
  <c r="W494" i="1"/>
  <c r="V494" i="1"/>
  <c r="U494" i="1"/>
  <c r="T494" i="1"/>
  <c r="S494" i="1"/>
  <c r="R494" i="1"/>
  <c r="Q494" i="1"/>
  <c r="O494" i="1"/>
  <c r="K494" i="1"/>
  <c r="I494" i="1"/>
  <c r="H494" i="1"/>
  <c r="G494" i="1"/>
  <c r="F494" i="1"/>
  <c r="E494" i="1"/>
  <c r="D494" i="1"/>
  <c r="AE493" i="1"/>
  <c r="AA493" i="1"/>
  <c r="Z493" i="1"/>
  <c r="Y493" i="1"/>
  <c r="X493" i="1"/>
  <c r="W493" i="1"/>
  <c r="V493" i="1"/>
  <c r="U493" i="1"/>
  <c r="T493" i="1"/>
  <c r="S493" i="1"/>
  <c r="R493" i="1"/>
  <c r="Q493" i="1"/>
  <c r="O493" i="1"/>
  <c r="K493" i="1"/>
  <c r="I493" i="1"/>
  <c r="H493" i="1"/>
  <c r="G493" i="1"/>
  <c r="F493" i="1"/>
  <c r="E493" i="1"/>
  <c r="D493" i="1"/>
  <c r="AE492" i="1"/>
  <c r="AA492" i="1"/>
  <c r="Z492" i="1"/>
  <c r="Y492" i="1"/>
  <c r="X492" i="1"/>
  <c r="W492" i="1"/>
  <c r="V492" i="1"/>
  <c r="U492" i="1"/>
  <c r="T492" i="1"/>
  <c r="S492" i="1"/>
  <c r="R492" i="1"/>
  <c r="Q492" i="1"/>
  <c r="O492" i="1"/>
  <c r="K492" i="1"/>
  <c r="I492" i="1"/>
  <c r="H492" i="1"/>
  <c r="G492" i="1"/>
  <c r="F492" i="1"/>
  <c r="E492" i="1"/>
  <c r="D492" i="1"/>
  <c r="AE491" i="1"/>
  <c r="AA491" i="1"/>
  <c r="Z491" i="1"/>
  <c r="Y491" i="1"/>
  <c r="X491" i="1"/>
  <c r="W491" i="1"/>
  <c r="V491" i="1"/>
  <c r="U491" i="1"/>
  <c r="T491" i="1"/>
  <c r="S491" i="1"/>
  <c r="R491" i="1"/>
  <c r="Q491" i="1"/>
  <c r="O491" i="1"/>
  <c r="K491" i="1"/>
  <c r="I491" i="1"/>
  <c r="H491" i="1"/>
  <c r="G491" i="1"/>
  <c r="F491" i="1"/>
  <c r="E491" i="1"/>
  <c r="D491" i="1"/>
  <c r="AE490" i="1"/>
  <c r="AA490" i="1"/>
  <c r="Z490" i="1"/>
  <c r="Y490" i="1"/>
  <c r="X490" i="1"/>
  <c r="W490" i="1"/>
  <c r="V490" i="1"/>
  <c r="U490" i="1"/>
  <c r="T490" i="1"/>
  <c r="S490" i="1"/>
  <c r="R490" i="1"/>
  <c r="Q490" i="1"/>
  <c r="O490" i="1"/>
  <c r="K490" i="1"/>
  <c r="I490" i="1"/>
  <c r="H490" i="1"/>
  <c r="G490" i="1"/>
  <c r="F490" i="1"/>
  <c r="E490" i="1"/>
  <c r="D490" i="1"/>
  <c r="AE489" i="1"/>
  <c r="AA489" i="1"/>
  <c r="Z489" i="1"/>
  <c r="Y489" i="1"/>
  <c r="X489" i="1"/>
  <c r="W489" i="1"/>
  <c r="V489" i="1"/>
  <c r="U489" i="1"/>
  <c r="T489" i="1"/>
  <c r="S489" i="1"/>
  <c r="R489" i="1"/>
  <c r="Q489" i="1"/>
  <c r="O489" i="1"/>
  <c r="K489" i="1"/>
  <c r="I489" i="1"/>
  <c r="H489" i="1"/>
  <c r="G489" i="1"/>
  <c r="F489" i="1"/>
  <c r="E489" i="1"/>
  <c r="D489" i="1"/>
  <c r="AE488" i="1"/>
  <c r="AA488" i="1"/>
  <c r="Z488" i="1"/>
  <c r="Y488" i="1"/>
  <c r="X488" i="1"/>
  <c r="W488" i="1"/>
  <c r="V488" i="1"/>
  <c r="U488" i="1"/>
  <c r="T488" i="1"/>
  <c r="S488" i="1"/>
  <c r="R488" i="1"/>
  <c r="Q488" i="1"/>
  <c r="O488" i="1"/>
  <c r="K488" i="1"/>
  <c r="I488" i="1"/>
  <c r="H488" i="1"/>
  <c r="G488" i="1"/>
  <c r="F488" i="1"/>
  <c r="E488" i="1"/>
  <c r="D488" i="1"/>
  <c r="AE487" i="1"/>
  <c r="AA487" i="1"/>
  <c r="Z487" i="1"/>
  <c r="Y487" i="1"/>
  <c r="X487" i="1"/>
  <c r="W487" i="1"/>
  <c r="V487" i="1"/>
  <c r="U487" i="1"/>
  <c r="T487" i="1"/>
  <c r="S487" i="1"/>
  <c r="R487" i="1"/>
  <c r="Q487" i="1"/>
  <c r="O487" i="1"/>
  <c r="K487" i="1"/>
  <c r="I487" i="1"/>
  <c r="H487" i="1"/>
  <c r="G487" i="1"/>
  <c r="F487" i="1"/>
  <c r="E487" i="1"/>
  <c r="D487" i="1"/>
  <c r="AE486" i="1"/>
  <c r="AA486" i="1"/>
  <c r="Z486" i="1"/>
  <c r="Y486" i="1"/>
  <c r="X486" i="1"/>
  <c r="W486" i="1"/>
  <c r="V486" i="1"/>
  <c r="U486" i="1"/>
  <c r="T486" i="1"/>
  <c r="S486" i="1"/>
  <c r="R486" i="1"/>
  <c r="Q486" i="1"/>
  <c r="O486" i="1"/>
  <c r="K486" i="1"/>
  <c r="I486" i="1"/>
  <c r="H486" i="1"/>
  <c r="G486" i="1"/>
  <c r="F486" i="1"/>
  <c r="E486" i="1"/>
  <c r="D486" i="1"/>
  <c r="AE485" i="1"/>
  <c r="AA485" i="1"/>
  <c r="Z485" i="1"/>
  <c r="Y485" i="1"/>
  <c r="X485" i="1"/>
  <c r="W485" i="1"/>
  <c r="V485" i="1"/>
  <c r="U485" i="1"/>
  <c r="T485" i="1"/>
  <c r="S485" i="1"/>
  <c r="R485" i="1"/>
  <c r="Q485" i="1"/>
  <c r="O485" i="1"/>
  <c r="K485" i="1"/>
  <c r="I485" i="1"/>
  <c r="H485" i="1"/>
  <c r="G485" i="1"/>
  <c r="F485" i="1"/>
  <c r="E485" i="1"/>
  <c r="D485" i="1"/>
  <c r="AE484" i="1"/>
  <c r="AA484" i="1"/>
  <c r="Z484" i="1"/>
  <c r="Y484" i="1"/>
  <c r="X484" i="1"/>
  <c r="W484" i="1"/>
  <c r="V484" i="1"/>
  <c r="U484" i="1"/>
  <c r="T484" i="1"/>
  <c r="S484" i="1"/>
  <c r="R484" i="1"/>
  <c r="Q484" i="1"/>
  <c r="O484" i="1"/>
  <c r="K484" i="1"/>
  <c r="I484" i="1"/>
  <c r="H484" i="1"/>
  <c r="G484" i="1"/>
  <c r="F484" i="1"/>
  <c r="E484" i="1"/>
  <c r="D484" i="1"/>
  <c r="AE483" i="1"/>
  <c r="AA483" i="1"/>
  <c r="Z483" i="1"/>
  <c r="Y483" i="1"/>
  <c r="X483" i="1"/>
  <c r="W483" i="1"/>
  <c r="V483" i="1"/>
  <c r="U483" i="1"/>
  <c r="T483" i="1"/>
  <c r="S483" i="1"/>
  <c r="R483" i="1"/>
  <c r="Q483" i="1"/>
  <c r="O483" i="1"/>
  <c r="K483" i="1"/>
  <c r="I483" i="1"/>
  <c r="H483" i="1"/>
  <c r="G483" i="1"/>
  <c r="F483" i="1"/>
  <c r="E483" i="1"/>
  <c r="D483" i="1"/>
  <c r="AE482" i="1"/>
  <c r="AA482" i="1"/>
  <c r="Z482" i="1"/>
  <c r="Y482" i="1"/>
  <c r="X482" i="1"/>
  <c r="W482" i="1"/>
  <c r="V482" i="1"/>
  <c r="U482" i="1"/>
  <c r="T482" i="1"/>
  <c r="S482" i="1"/>
  <c r="R482" i="1"/>
  <c r="Q482" i="1"/>
  <c r="O482" i="1"/>
  <c r="K482" i="1"/>
  <c r="I482" i="1"/>
  <c r="H482" i="1"/>
  <c r="G482" i="1"/>
  <c r="F482" i="1"/>
  <c r="E482" i="1"/>
  <c r="D482" i="1"/>
  <c r="AE481" i="1"/>
  <c r="AA481" i="1"/>
  <c r="Z481" i="1"/>
  <c r="Y481" i="1"/>
  <c r="X481" i="1"/>
  <c r="W481" i="1"/>
  <c r="V481" i="1"/>
  <c r="U481" i="1"/>
  <c r="T481" i="1"/>
  <c r="S481" i="1"/>
  <c r="R481" i="1"/>
  <c r="Q481" i="1"/>
  <c r="O481" i="1"/>
  <c r="K481" i="1"/>
  <c r="I481" i="1"/>
  <c r="H481" i="1"/>
  <c r="G481" i="1"/>
  <c r="F481" i="1"/>
  <c r="E481" i="1"/>
  <c r="D481" i="1"/>
  <c r="AE480" i="1"/>
  <c r="AA480" i="1"/>
  <c r="Z480" i="1"/>
  <c r="Y480" i="1"/>
  <c r="X480" i="1"/>
  <c r="W480" i="1"/>
  <c r="V480" i="1"/>
  <c r="U480" i="1"/>
  <c r="T480" i="1"/>
  <c r="S480" i="1"/>
  <c r="R480" i="1"/>
  <c r="Q480" i="1"/>
  <c r="O480" i="1"/>
  <c r="K480" i="1"/>
  <c r="I480" i="1"/>
  <c r="H480" i="1"/>
  <c r="G480" i="1"/>
  <c r="F480" i="1"/>
  <c r="E480" i="1"/>
  <c r="D480" i="1"/>
  <c r="AE479" i="1"/>
  <c r="AA479" i="1"/>
  <c r="Z479" i="1"/>
  <c r="Y479" i="1"/>
  <c r="X479" i="1"/>
  <c r="W479" i="1"/>
  <c r="V479" i="1"/>
  <c r="U479" i="1"/>
  <c r="T479" i="1"/>
  <c r="S479" i="1"/>
  <c r="R479" i="1"/>
  <c r="Q479" i="1"/>
  <c r="O479" i="1"/>
  <c r="K479" i="1"/>
  <c r="I479" i="1"/>
  <c r="H479" i="1"/>
  <c r="G479" i="1"/>
  <c r="F479" i="1"/>
  <c r="E479" i="1"/>
  <c r="D479" i="1"/>
  <c r="AE478" i="1"/>
  <c r="AA478" i="1"/>
  <c r="Z478" i="1"/>
  <c r="Y478" i="1"/>
  <c r="X478" i="1"/>
  <c r="W478" i="1"/>
  <c r="V478" i="1"/>
  <c r="U478" i="1"/>
  <c r="T478" i="1"/>
  <c r="S478" i="1"/>
  <c r="R478" i="1"/>
  <c r="Q478" i="1"/>
  <c r="O478" i="1"/>
  <c r="K478" i="1"/>
  <c r="I478" i="1"/>
  <c r="H478" i="1"/>
  <c r="G478" i="1"/>
  <c r="F478" i="1"/>
  <c r="E478" i="1"/>
  <c r="D478" i="1"/>
  <c r="AE477" i="1"/>
  <c r="AA477" i="1"/>
  <c r="Z477" i="1"/>
  <c r="Y477" i="1"/>
  <c r="X477" i="1"/>
  <c r="W477" i="1"/>
  <c r="V477" i="1"/>
  <c r="U477" i="1"/>
  <c r="T477" i="1"/>
  <c r="S477" i="1"/>
  <c r="R477" i="1"/>
  <c r="Q477" i="1"/>
  <c r="O477" i="1"/>
  <c r="K477" i="1"/>
  <c r="I477" i="1"/>
  <c r="H477" i="1"/>
  <c r="G477" i="1"/>
  <c r="F477" i="1"/>
  <c r="E477" i="1"/>
  <c r="D477" i="1"/>
  <c r="AE476" i="1"/>
  <c r="AA476" i="1"/>
  <c r="Z476" i="1"/>
  <c r="Y476" i="1"/>
  <c r="X476" i="1"/>
  <c r="W476" i="1"/>
  <c r="V476" i="1"/>
  <c r="U476" i="1"/>
  <c r="T476" i="1"/>
  <c r="S476" i="1"/>
  <c r="R476" i="1"/>
  <c r="Q476" i="1"/>
  <c r="O476" i="1"/>
  <c r="K476" i="1"/>
  <c r="I476" i="1"/>
  <c r="H476" i="1"/>
  <c r="G476" i="1"/>
  <c r="F476" i="1"/>
  <c r="E476" i="1"/>
  <c r="D476" i="1"/>
  <c r="AE475" i="1"/>
  <c r="AA475" i="1"/>
  <c r="Z475" i="1"/>
  <c r="Y475" i="1"/>
  <c r="X475" i="1"/>
  <c r="W475" i="1"/>
  <c r="V475" i="1"/>
  <c r="U475" i="1"/>
  <c r="T475" i="1"/>
  <c r="S475" i="1"/>
  <c r="R475" i="1"/>
  <c r="Q475" i="1"/>
  <c r="O475" i="1"/>
  <c r="K475" i="1"/>
  <c r="I475" i="1"/>
  <c r="H475" i="1"/>
  <c r="G475" i="1"/>
  <c r="F475" i="1"/>
  <c r="E475" i="1"/>
  <c r="D475" i="1"/>
  <c r="AE474" i="1"/>
  <c r="AA474" i="1"/>
  <c r="Z474" i="1"/>
  <c r="Y474" i="1"/>
  <c r="X474" i="1"/>
  <c r="W474" i="1"/>
  <c r="V474" i="1"/>
  <c r="U474" i="1"/>
  <c r="T474" i="1"/>
  <c r="S474" i="1"/>
  <c r="R474" i="1"/>
  <c r="Q474" i="1"/>
  <c r="O474" i="1"/>
  <c r="K474" i="1"/>
  <c r="I474" i="1"/>
  <c r="H474" i="1"/>
  <c r="G474" i="1"/>
  <c r="F474" i="1"/>
  <c r="E474" i="1"/>
  <c r="D474" i="1"/>
  <c r="AE473" i="1"/>
  <c r="AA473" i="1"/>
  <c r="Z473" i="1"/>
  <c r="Y473" i="1"/>
  <c r="X473" i="1"/>
  <c r="W473" i="1"/>
  <c r="V473" i="1"/>
  <c r="U473" i="1"/>
  <c r="T473" i="1"/>
  <c r="S473" i="1"/>
  <c r="R473" i="1"/>
  <c r="Q473" i="1"/>
  <c r="O473" i="1"/>
  <c r="K473" i="1"/>
  <c r="I473" i="1"/>
  <c r="H473" i="1"/>
  <c r="G473" i="1"/>
  <c r="F473" i="1"/>
  <c r="E473" i="1"/>
  <c r="D473" i="1"/>
  <c r="AE472" i="1"/>
  <c r="AA472" i="1"/>
  <c r="Z472" i="1"/>
  <c r="Y472" i="1"/>
  <c r="X472" i="1"/>
  <c r="W472" i="1"/>
  <c r="V472" i="1"/>
  <c r="U472" i="1"/>
  <c r="T472" i="1"/>
  <c r="S472" i="1"/>
  <c r="R472" i="1"/>
  <c r="Q472" i="1"/>
  <c r="O472" i="1"/>
  <c r="K472" i="1"/>
  <c r="I472" i="1"/>
  <c r="H472" i="1"/>
  <c r="G472" i="1"/>
  <c r="F472" i="1"/>
  <c r="E472" i="1"/>
  <c r="D472" i="1"/>
  <c r="AE471" i="1"/>
  <c r="AA471" i="1"/>
  <c r="Z471" i="1"/>
  <c r="Y471" i="1"/>
  <c r="X471" i="1"/>
  <c r="W471" i="1"/>
  <c r="V471" i="1"/>
  <c r="U471" i="1"/>
  <c r="T471" i="1"/>
  <c r="S471" i="1"/>
  <c r="R471" i="1"/>
  <c r="Q471" i="1"/>
  <c r="O471" i="1"/>
  <c r="K471" i="1"/>
  <c r="I471" i="1"/>
  <c r="H471" i="1"/>
  <c r="G471" i="1"/>
  <c r="F471" i="1"/>
  <c r="E471" i="1"/>
  <c r="D471" i="1"/>
  <c r="AE470" i="1"/>
  <c r="AA470" i="1"/>
  <c r="Z470" i="1"/>
  <c r="Y470" i="1"/>
  <c r="X470" i="1"/>
  <c r="W470" i="1"/>
  <c r="V470" i="1"/>
  <c r="U470" i="1"/>
  <c r="T470" i="1"/>
  <c r="S470" i="1"/>
  <c r="R470" i="1"/>
  <c r="Q470" i="1"/>
  <c r="O470" i="1"/>
  <c r="K470" i="1"/>
  <c r="I470" i="1"/>
  <c r="H470" i="1"/>
  <c r="G470" i="1"/>
  <c r="F470" i="1"/>
  <c r="E470" i="1"/>
  <c r="D470" i="1"/>
  <c r="AE469" i="1"/>
  <c r="AA469" i="1"/>
  <c r="Z469" i="1"/>
  <c r="Y469" i="1"/>
  <c r="X469" i="1"/>
  <c r="W469" i="1"/>
  <c r="V469" i="1"/>
  <c r="U469" i="1"/>
  <c r="T469" i="1"/>
  <c r="S469" i="1"/>
  <c r="R469" i="1"/>
  <c r="Q469" i="1"/>
  <c r="O469" i="1"/>
  <c r="K469" i="1"/>
  <c r="I469" i="1"/>
  <c r="H469" i="1"/>
  <c r="G469" i="1"/>
  <c r="F469" i="1"/>
  <c r="E469" i="1"/>
  <c r="D469" i="1"/>
  <c r="AE468" i="1"/>
  <c r="AA468" i="1"/>
  <c r="Z468" i="1"/>
  <c r="Y468" i="1"/>
  <c r="X468" i="1"/>
  <c r="W468" i="1"/>
  <c r="V468" i="1"/>
  <c r="U468" i="1"/>
  <c r="T468" i="1"/>
  <c r="S468" i="1"/>
  <c r="R468" i="1"/>
  <c r="Q468" i="1"/>
  <c r="O468" i="1"/>
  <c r="K468" i="1"/>
  <c r="I468" i="1"/>
  <c r="H468" i="1"/>
  <c r="G468" i="1"/>
  <c r="F468" i="1"/>
  <c r="E468" i="1"/>
  <c r="D468" i="1"/>
  <c r="AE467" i="1"/>
  <c r="AA467" i="1"/>
  <c r="Z467" i="1"/>
  <c r="Y467" i="1"/>
  <c r="X467" i="1"/>
  <c r="W467" i="1"/>
  <c r="V467" i="1"/>
  <c r="U467" i="1"/>
  <c r="T467" i="1"/>
  <c r="S467" i="1"/>
  <c r="R467" i="1"/>
  <c r="Q467" i="1"/>
  <c r="O467" i="1"/>
  <c r="K467" i="1"/>
  <c r="I467" i="1"/>
  <c r="H467" i="1"/>
  <c r="G467" i="1"/>
  <c r="F467" i="1"/>
  <c r="E467" i="1"/>
  <c r="D467" i="1"/>
  <c r="AE466" i="1"/>
  <c r="AA466" i="1"/>
  <c r="Z466" i="1"/>
  <c r="Y466" i="1"/>
  <c r="X466" i="1"/>
  <c r="W466" i="1"/>
  <c r="V466" i="1"/>
  <c r="U466" i="1"/>
  <c r="T466" i="1"/>
  <c r="S466" i="1"/>
  <c r="R466" i="1"/>
  <c r="Q466" i="1"/>
  <c r="O466" i="1"/>
  <c r="K466" i="1"/>
  <c r="I466" i="1"/>
  <c r="H466" i="1"/>
  <c r="G466" i="1"/>
  <c r="F466" i="1"/>
  <c r="E466" i="1"/>
  <c r="D466" i="1"/>
  <c r="AE465" i="1"/>
  <c r="AA465" i="1"/>
  <c r="Z465" i="1"/>
  <c r="Y465" i="1"/>
  <c r="X465" i="1"/>
  <c r="W465" i="1"/>
  <c r="V465" i="1"/>
  <c r="U465" i="1"/>
  <c r="T465" i="1"/>
  <c r="S465" i="1"/>
  <c r="R465" i="1"/>
  <c r="Q465" i="1"/>
  <c r="O465" i="1"/>
  <c r="K465" i="1"/>
  <c r="I465" i="1"/>
  <c r="H465" i="1"/>
  <c r="G465" i="1"/>
  <c r="F465" i="1"/>
  <c r="E465" i="1"/>
  <c r="D465" i="1"/>
  <c r="AE464" i="1"/>
  <c r="AA464" i="1"/>
  <c r="Z464" i="1"/>
  <c r="Y464" i="1"/>
  <c r="X464" i="1"/>
  <c r="W464" i="1"/>
  <c r="V464" i="1"/>
  <c r="U464" i="1"/>
  <c r="T464" i="1"/>
  <c r="S464" i="1"/>
  <c r="R464" i="1"/>
  <c r="Q464" i="1"/>
  <c r="O464" i="1"/>
  <c r="K464" i="1"/>
  <c r="I464" i="1"/>
  <c r="H464" i="1"/>
  <c r="G464" i="1"/>
  <c r="F464" i="1"/>
  <c r="E464" i="1"/>
  <c r="D464" i="1"/>
  <c r="AE463" i="1"/>
  <c r="AA463" i="1"/>
  <c r="Z463" i="1"/>
  <c r="Y463" i="1"/>
  <c r="X463" i="1"/>
  <c r="W463" i="1"/>
  <c r="V463" i="1"/>
  <c r="U463" i="1"/>
  <c r="T463" i="1"/>
  <c r="S463" i="1"/>
  <c r="R463" i="1"/>
  <c r="Q463" i="1"/>
  <c r="O463" i="1"/>
  <c r="K463" i="1"/>
  <c r="I463" i="1"/>
  <c r="H463" i="1"/>
  <c r="G463" i="1"/>
  <c r="F463" i="1"/>
  <c r="E463" i="1"/>
  <c r="D463" i="1"/>
  <c r="AE462" i="1"/>
  <c r="AA462" i="1"/>
  <c r="Z462" i="1"/>
  <c r="Y462" i="1"/>
  <c r="X462" i="1"/>
  <c r="W462" i="1"/>
  <c r="V462" i="1"/>
  <c r="U462" i="1"/>
  <c r="T462" i="1"/>
  <c r="S462" i="1"/>
  <c r="R462" i="1"/>
  <c r="Q462" i="1"/>
  <c r="O462" i="1"/>
  <c r="K462" i="1"/>
  <c r="I462" i="1"/>
  <c r="H462" i="1"/>
  <c r="G462" i="1"/>
  <c r="F462" i="1"/>
  <c r="E462" i="1"/>
  <c r="D462" i="1"/>
  <c r="AE461" i="1"/>
  <c r="AA461" i="1"/>
  <c r="Z461" i="1"/>
  <c r="Y461" i="1"/>
  <c r="X461" i="1"/>
  <c r="W461" i="1"/>
  <c r="V461" i="1"/>
  <c r="U461" i="1"/>
  <c r="T461" i="1"/>
  <c r="S461" i="1"/>
  <c r="R461" i="1"/>
  <c r="Q461" i="1"/>
  <c r="O461" i="1"/>
  <c r="K461" i="1"/>
  <c r="I461" i="1"/>
  <c r="H461" i="1"/>
  <c r="G461" i="1"/>
  <c r="F461" i="1"/>
  <c r="E461" i="1"/>
  <c r="D461" i="1"/>
  <c r="AE460" i="1"/>
  <c r="AA460" i="1"/>
  <c r="Z460" i="1"/>
  <c r="Y460" i="1"/>
  <c r="X460" i="1"/>
  <c r="W460" i="1"/>
  <c r="V460" i="1"/>
  <c r="U460" i="1"/>
  <c r="T460" i="1"/>
  <c r="S460" i="1"/>
  <c r="R460" i="1"/>
  <c r="Q460" i="1"/>
  <c r="O460" i="1"/>
  <c r="K460" i="1"/>
  <c r="I460" i="1"/>
  <c r="H460" i="1"/>
  <c r="G460" i="1"/>
  <c r="F460" i="1"/>
  <c r="E460" i="1"/>
  <c r="D460" i="1"/>
  <c r="AE459" i="1"/>
  <c r="AA459" i="1"/>
  <c r="Z459" i="1"/>
  <c r="Y459" i="1"/>
  <c r="X459" i="1"/>
  <c r="W459" i="1"/>
  <c r="V459" i="1"/>
  <c r="U459" i="1"/>
  <c r="T459" i="1"/>
  <c r="S459" i="1"/>
  <c r="R459" i="1"/>
  <c r="Q459" i="1"/>
  <c r="O459" i="1"/>
  <c r="K459" i="1"/>
  <c r="I459" i="1"/>
  <c r="H459" i="1"/>
  <c r="G459" i="1"/>
  <c r="F459" i="1"/>
  <c r="E459" i="1"/>
  <c r="D459" i="1"/>
  <c r="AE458" i="1"/>
  <c r="AA458" i="1"/>
  <c r="Z458" i="1"/>
  <c r="Y458" i="1"/>
  <c r="X458" i="1"/>
  <c r="W458" i="1"/>
  <c r="V458" i="1"/>
  <c r="U458" i="1"/>
  <c r="T458" i="1"/>
  <c r="S458" i="1"/>
  <c r="R458" i="1"/>
  <c r="Q458" i="1"/>
  <c r="O458" i="1"/>
  <c r="K458" i="1"/>
  <c r="I458" i="1"/>
  <c r="H458" i="1"/>
  <c r="G458" i="1"/>
  <c r="F458" i="1"/>
  <c r="E458" i="1"/>
  <c r="D458" i="1"/>
  <c r="AE457" i="1"/>
  <c r="AA457" i="1"/>
  <c r="Z457" i="1"/>
  <c r="Y457" i="1"/>
  <c r="X457" i="1"/>
  <c r="W457" i="1"/>
  <c r="V457" i="1"/>
  <c r="U457" i="1"/>
  <c r="T457" i="1"/>
  <c r="S457" i="1"/>
  <c r="R457" i="1"/>
  <c r="Q457" i="1"/>
  <c r="O457" i="1"/>
  <c r="K457" i="1"/>
  <c r="I457" i="1"/>
  <c r="H457" i="1"/>
  <c r="G457" i="1"/>
  <c r="F457" i="1"/>
  <c r="E457" i="1"/>
  <c r="D457" i="1"/>
  <c r="AE456" i="1"/>
  <c r="AA456" i="1"/>
  <c r="Z456" i="1"/>
  <c r="Y456" i="1"/>
  <c r="X456" i="1"/>
  <c r="W456" i="1"/>
  <c r="V456" i="1"/>
  <c r="U456" i="1"/>
  <c r="T456" i="1"/>
  <c r="S456" i="1"/>
  <c r="R456" i="1"/>
  <c r="Q456" i="1"/>
  <c r="O456" i="1"/>
  <c r="K456" i="1"/>
  <c r="I456" i="1"/>
  <c r="H456" i="1"/>
  <c r="G456" i="1"/>
  <c r="F456" i="1"/>
  <c r="E456" i="1"/>
  <c r="D456" i="1"/>
  <c r="AE455" i="1"/>
  <c r="AA455" i="1"/>
  <c r="Z455" i="1"/>
  <c r="Y455" i="1"/>
  <c r="X455" i="1"/>
  <c r="W455" i="1"/>
  <c r="V455" i="1"/>
  <c r="U455" i="1"/>
  <c r="T455" i="1"/>
  <c r="S455" i="1"/>
  <c r="R455" i="1"/>
  <c r="Q455" i="1"/>
  <c r="O455" i="1"/>
  <c r="K455" i="1"/>
  <c r="I455" i="1"/>
  <c r="H455" i="1"/>
  <c r="G455" i="1"/>
  <c r="F455" i="1"/>
  <c r="E455" i="1"/>
  <c r="D455" i="1"/>
  <c r="AE454" i="1"/>
  <c r="AA454" i="1"/>
  <c r="Z454" i="1"/>
  <c r="Y454" i="1"/>
  <c r="X454" i="1"/>
  <c r="W454" i="1"/>
  <c r="V454" i="1"/>
  <c r="U454" i="1"/>
  <c r="T454" i="1"/>
  <c r="S454" i="1"/>
  <c r="R454" i="1"/>
  <c r="Q454" i="1"/>
  <c r="O454" i="1"/>
  <c r="K454" i="1"/>
  <c r="I454" i="1"/>
  <c r="H454" i="1"/>
  <c r="G454" i="1"/>
  <c r="F454" i="1"/>
  <c r="E454" i="1"/>
  <c r="D454" i="1"/>
  <c r="AE453" i="1"/>
  <c r="AA453" i="1"/>
  <c r="Z453" i="1"/>
  <c r="Y453" i="1"/>
  <c r="X453" i="1"/>
  <c r="W453" i="1"/>
  <c r="V453" i="1"/>
  <c r="U453" i="1"/>
  <c r="T453" i="1"/>
  <c r="S453" i="1"/>
  <c r="R453" i="1"/>
  <c r="Q453" i="1"/>
  <c r="O453" i="1"/>
  <c r="K453" i="1"/>
  <c r="I453" i="1"/>
  <c r="H453" i="1"/>
  <c r="G453" i="1"/>
  <c r="F453" i="1"/>
  <c r="E453" i="1"/>
  <c r="D453" i="1"/>
  <c r="AE452" i="1"/>
  <c r="AA452" i="1"/>
  <c r="Z452" i="1"/>
  <c r="Y452" i="1"/>
  <c r="X452" i="1"/>
  <c r="W452" i="1"/>
  <c r="V452" i="1"/>
  <c r="U452" i="1"/>
  <c r="T452" i="1"/>
  <c r="S452" i="1"/>
  <c r="R452" i="1"/>
  <c r="Q452" i="1"/>
  <c r="O452" i="1"/>
  <c r="K452" i="1"/>
  <c r="I452" i="1"/>
  <c r="H452" i="1"/>
  <c r="G452" i="1"/>
  <c r="F452" i="1"/>
  <c r="E452" i="1"/>
  <c r="D452" i="1"/>
  <c r="AE451" i="1"/>
  <c r="AA451" i="1"/>
  <c r="Z451" i="1"/>
  <c r="Y451" i="1"/>
  <c r="X451" i="1"/>
  <c r="W451" i="1"/>
  <c r="V451" i="1"/>
  <c r="U451" i="1"/>
  <c r="T451" i="1"/>
  <c r="S451" i="1"/>
  <c r="R451" i="1"/>
  <c r="Q451" i="1"/>
  <c r="O451" i="1"/>
  <c r="K451" i="1"/>
  <c r="I451" i="1"/>
  <c r="H451" i="1"/>
  <c r="G451" i="1"/>
  <c r="F451" i="1"/>
  <c r="E451" i="1"/>
  <c r="D451" i="1"/>
  <c r="AE450" i="1"/>
  <c r="AA450" i="1"/>
  <c r="Z450" i="1"/>
  <c r="Y450" i="1"/>
  <c r="X450" i="1"/>
  <c r="W450" i="1"/>
  <c r="V450" i="1"/>
  <c r="U450" i="1"/>
  <c r="T450" i="1"/>
  <c r="S450" i="1"/>
  <c r="R450" i="1"/>
  <c r="Q450" i="1"/>
  <c r="O450" i="1"/>
  <c r="K450" i="1"/>
  <c r="I450" i="1"/>
  <c r="H450" i="1"/>
  <c r="G450" i="1"/>
  <c r="F450" i="1"/>
  <c r="E450" i="1"/>
  <c r="D450" i="1"/>
  <c r="AE449" i="1"/>
  <c r="AA449" i="1"/>
  <c r="Z449" i="1"/>
  <c r="Y449" i="1"/>
  <c r="X449" i="1"/>
  <c r="W449" i="1"/>
  <c r="V449" i="1"/>
  <c r="U449" i="1"/>
  <c r="T449" i="1"/>
  <c r="S449" i="1"/>
  <c r="R449" i="1"/>
  <c r="Q449" i="1"/>
  <c r="O449" i="1"/>
  <c r="K449" i="1"/>
  <c r="I449" i="1"/>
  <c r="H449" i="1"/>
  <c r="G449" i="1"/>
  <c r="F449" i="1"/>
  <c r="E449" i="1"/>
  <c r="D449" i="1"/>
  <c r="AE448" i="1"/>
  <c r="AA448" i="1"/>
  <c r="Z448" i="1"/>
  <c r="Y448" i="1"/>
  <c r="X448" i="1"/>
  <c r="W448" i="1"/>
  <c r="V448" i="1"/>
  <c r="U448" i="1"/>
  <c r="T448" i="1"/>
  <c r="S448" i="1"/>
  <c r="R448" i="1"/>
  <c r="Q448" i="1"/>
  <c r="O448" i="1"/>
  <c r="K448" i="1"/>
  <c r="I448" i="1"/>
  <c r="H448" i="1"/>
  <c r="G448" i="1"/>
  <c r="F448" i="1"/>
  <c r="E448" i="1"/>
  <c r="D448" i="1"/>
  <c r="AE447" i="1"/>
  <c r="AA447" i="1"/>
  <c r="Z447" i="1"/>
  <c r="Y447" i="1"/>
  <c r="X447" i="1"/>
  <c r="W447" i="1"/>
  <c r="V447" i="1"/>
  <c r="U447" i="1"/>
  <c r="T447" i="1"/>
  <c r="S447" i="1"/>
  <c r="R447" i="1"/>
  <c r="Q447" i="1"/>
  <c r="O447" i="1"/>
  <c r="K447" i="1"/>
  <c r="I447" i="1"/>
  <c r="H447" i="1"/>
  <c r="G447" i="1"/>
  <c r="F447" i="1"/>
  <c r="E447" i="1"/>
  <c r="D447" i="1"/>
  <c r="AE446" i="1"/>
  <c r="AA446" i="1"/>
  <c r="Z446" i="1"/>
  <c r="Y446" i="1"/>
  <c r="X446" i="1"/>
  <c r="W446" i="1"/>
  <c r="V446" i="1"/>
  <c r="U446" i="1"/>
  <c r="T446" i="1"/>
  <c r="S446" i="1"/>
  <c r="R446" i="1"/>
  <c r="Q446" i="1"/>
  <c r="O446" i="1"/>
  <c r="K446" i="1"/>
  <c r="I446" i="1"/>
  <c r="H446" i="1"/>
  <c r="G446" i="1"/>
  <c r="F446" i="1"/>
  <c r="E446" i="1"/>
  <c r="D446" i="1"/>
  <c r="AE445" i="1"/>
  <c r="AA445" i="1"/>
  <c r="Z445" i="1"/>
  <c r="Y445" i="1"/>
  <c r="X445" i="1"/>
  <c r="W445" i="1"/>
  <c r="V445" i="1"/>
  <c r="U445" i="1"/>
  <c r="T445" i="1"/>
  <c r="S445" i="1"/>
  <c r="R445" i="1"/>
  <c r="Q445" i="1"/>
  <c r="O445" i="1"/>
  <c r="K445" i="1"/>
  <c r="I445" i="1"/>
  <c r="H445" i="1"/>
  <c r="G445" i="1"/>
  <c r="F445" i="1"/>
  <c r="E445" i="1"/>
  <c r="D445" i="1"/>
  <c r="AE444" i="1"/>
  <c r="AA444" i="1"/>
  <c r="Z444" i="1"/>
  <c r="Y444" i="1"/>
  <c r="X444" i="1"/>
  <c r="W444" i="1"/>
  <c r="V444" i="1"/>
  <c r="U444" i="1"/>
  <c r="T444" i="1"/>
  <c r="S444" i="1"/>
  <c r="R444" i="1"/>
  <c r="Q444" i="1"/>
  <c r="O444" i="1"/>
  <c r="K444" i="1"/>
  <c r="I444" i="1"/>
  <c r="H444" i="1"/>
  <c r="G444" i="1"/>
  <c r="F444" i="1"/>
  <c r="E444" i="1"/>
  <c r="D444" i="1"/>
  <c r="AE443" i="1"/>
  <c r="AA443" i="1"/>
  <c r="Z443" i="1"/>
  <c r="Y443" i="1"/>
  <c r="X443" i="1"/>
  <c r="W443" i="1"/>
  <c r="V443" i="1"/>
  <c r="U443" i="1"/>
  <c r="T443" i="1"/>
  <c r="S443" i="1"/>
  <c r="R443" i="1"/>
  <c r="Q443" i="1"/>
  <c r="O443" i="1"/>
  <c r="K443" i="1"/>
  <c r="I443" i="1"/>
  <c r="H443" i="1"/>
  <c r="G443" i="1"/>
  <c r="F443" i="1"/>
  <c r="E443" i="1"/>
  <c r="D443" i="1"/>
  <c r="AE442" i="1"/>
  <c r="AA442" i="1"/>
  <c r="Z442" i="1"/>
  <c r="Y442" i="1"/>
  <c r="X442" i="1"/>
  <c r="W442" i="1"/>
  <c r="V442" i="1"/>
  <c r="U442" i="1"/>
  <c r="T442" i="1"/>
  <c r="S442" i="1"/>
  <c r="R442" i="1"/>
  <c r="Q442" i="1"/>
  <c r="O442" i="1"/>
  <c r="K442" i="1"/>
  <c r="I442" i="1"/>
  <c r="H442" i="1"/>
  <c r="G442" i="1"/>
  <c r="F442" i="1"/>
  <c r="E442" i="1"/>
  <c r="D442" i="1"/>
  <c r="AE441" i="1"/>
  <c r="AA441" i="1"/>
  <c r="Z441" i="1"/>
  <c r="Y441" i="1"/>
  <c r="X441" i="1"/>
  <c r="W441" i="1"/>
  <c r="V441" i="1"/>
  <c r="U441" i="1"/>
  <c r="T441" i="1"/>
  <c r="S441" i="1"/>
  <c r="R441" i="1"/>
  <c r="Q441" i="1"/>
  <c r="O441" i="1"/>
  <c r="K441" i="1"/>
  <c r="I441" i="1"/>
  <c r="H441" i="1"/>
  <c r="G441" i="1"/>
  <c r="F441" i="1"/>
  <c r="E441" i="1"/>
  <c r="D441" i="1"/>
  <c r="AE440" i="1"/>
  <c r="AA440" i="1"/>
  <c r="Z440" i="1"/>
  <c r="Y440" i="1"/>
  <c r="X440" i="1"/>
  <c r="W440" i="1"/>
  <c r="V440" i="1"/>
  <c r="U440" i="1"/>
  <c r="T440" i="1"/>
  <c r="S440" i="1"/>
  <c r="R440" i="1"/>
  <c r="Q440" i="1"/>
  <c r="O440" i="1"/>
  <c r="K440" i="1"/>
  <c r="I440" i="1"/>
  <c r="H440" i="1"/>
  <c r="G440" i="1"/>
  <c r="F440" i="1"/>
  <c r="E440" i="1"/>
  <c r="D440" i="1"/>
  <c r="AE439" i="1"/>
  <c r="AA439" i="1"/>
  <c r="Z439" i="1"/>
  <c r="Y439" i="1"/>
  <c r="X439" i="1"/>
  <c r="W439" i="1"/>
  <c r="V439" i="1"/>
  <c r="U439" i="1"/>
  <c r="T439" i="1"/>
  <c r="S439" i="1"/>
  <c r="R439" i="1"/>
  <c r="Q439" i="1"/>
  <c r="O439" i="1"/>
  <c r="K439" i="1"/>
  <c r="I439" i="1"/>
  <c r="H439" i="1"/>
  <c r="G439" i="1"/>
  <c r="F439" i="1"/>
  <c r="E439" i="1"/>
  <c r="D439" i="1"/>
  <c r="AE438" i="1"/>
  <c r="AA438" i="1"/>
  <c r="Z438" i="1"/>
  <c r="Y438" i="1"/>
  <c r="X438" i="1"/>
  <c r="W438" i="1"/>
  <c r="V438" i="1"/>
  <c r="U438" i="1"/>
  <c r="T438" i="1"/>
  <c r="S438" i="1"/>
  <c r="R438" i="1"/>
  <c r="Q438" i="1"/>
  <c r="O438" i="1"/>
  <c r="K438" i="1"/>
  <c r="I438" i="1"/>
  <c r="H438" i="1"/>
  <c r="G438" i="1"/>
  <c r="F438" i="1"/>
  <c r="E438" i="1"/>
  <c r="D438" i="1"/>
  <c r="AE437" i="1"/>
  <c r="AA437" i="1"/>
  <c r="Z437" i="1"/>
  <c r="Y437" i="1"/>
  <c r="X437" i="1"/>
  <c r="W437" i="1"/>
  <c r="V437" i="1"/>
  <c r="U437" i="1"/>
  <c r="T437" i="1"/>
  <c r="S437" i="1"/>
  <c r="R437" i="1"/>
  <c r="Q437" i="1"/>
  <c r="O437" i="1"/>
  <c r="K437" i="1"/>
  <c r="I437" i="1"/>
  <c r="H437" i="1"/>
  <c r="G437" i="1"/>
  <c r="F437" i="1"/>
  <c r="E437" i="1"/>
  <c r="D437" i="1"/>
  <c r="AE436" i="1"/>
  <c r="AA436" i="1"/>
  <c r="Z436" i="1"/>
  <c r="Y436" i="1"/>
  <c r="X436" i="1"/>
  <c r="W436" i="1"/>
  <c r="V436" i="1"/>
  <c r="U436" i="1"/>
  <c r="T436" i="1"/>
  <c r="S436" i="1"/>
  <c r="R436" i="1"/>
  <c r="Q436" i="1"/>
  <c r="O436" i="1"/>
  <c r="K436" i="1"/>
  <c r="I436" i="1"/>
  <c r="H436" i="1"/>
  <c r="G436" i="1"/>
  <c r="F436" i="1"/>
  <c r="E436" i="1"/>
  <c r="D436" i="1"/>
  <c r="AE435" i="1"/>
  <c r="AA435" i="1"/>
  <c r="Z435" i="1"/>
  <c r="Y435" i="1"/>
  <c r="X435" i="1"/>
  <c r="W435" i="1"/>
  <c r="V435" i="1"/>
  <c r="U435" i="1"/>
  <c r="T435" i="1"/>
  <c r="S435" i="1"/>
  <c r="R435" i="1"/>
  <c r="Q435" i="1"/>
  <c r="O435" i="1"/>
  <c r="K435" i="1"/>
  <c r="I435" i="1"/>
  <c r="H435" i="1"/>
  <c r="G435" i="1"/>
  <c r="F435" i="1"/>
  <c r="E435" i="1"/>
  <c r="D435" i="1"/>
  <c r="AE434" i="1"/>
  <c r="AA434" i="1"/>
  <c r="Z434" i="1"/>
  <c r="Y434" i="1"/>
  <c r="X434" i="1"/>
  <c r="W434" i="1"/>
  <c r="V434" i="1"/>
  <c r="U434" i="1"/>
  <c r="T434" i="1"/>
  <c r="S434" i="1"/>
  <c r="R434" i="1"/>
  <c r="Q434" i="1"/>
  <c r="O434" i="1"/>
  <c r="K434" i="1"/>
  <c r="I434" i="1"/>
  <c r="H434" i="1"/>
  <c r="G434" i="1"/>
  <c r="F434" i="1"/>
  <c r="E434" i="1"/>
  <c r="D434" i="1"/>
  <c r="AE433" i="1"/>
  <c r="AA433" i="1"/>
  <c r="Z433" i="1"/>
  <c r="Y433" i="1"/>
  <c r="X433" i="1"/>
  <c r="W433" i="1"/>
  <c r="V433" i="1"/>
  <c r="U433" i="1"/>
  <c r="T433" i="1"/>
  <c r="S433" i="1"/>
  <c r="R433" i="1"/>
  <c r="Q433" i="1"/>
  <c r="O433" i="1"/>
  <c r="K433" i="1"/>
  <c r="I433" i="1"/>
  <c r="H433" i="1"/>
  <c r="G433" i="1"/>
  <c r="F433" i="1"/>
  <c r="E433" i="1"/>
  <c r="D433" i="1"/>
  <c r="AE432" i="1"/>
  <c r="AA432" i="1"/>
  <c r="Z432" i="1"/>
  <c r="Y432" i="1"/>
  <c r="X432" i="1"/>
  <c r="W432" i="1"/>
  <c r="V432" i="1"/>
  <c r="U432" i="1"/>
  <c r="T432" i="1"/>
  <c r="S432" i="1"/>
  <c r="R432" i="1"/>
  <c r="Q432" i="1"/>
  <c r="O432" i="1"/>
  <c r="K432" i="1"/>
  <c r="I432" i="1"/>
  <c r="H432" i="1"/>
  <c r="G432" i="1"/>
  <c r="F432" i="1"/>
  <c r="E432" i="1"/>
  <c r="D432" i="1"/>
  <c r="AE431" i="1"/>
  <c r="AA431" i="1"/>
  <c r="Z431" i="1"/>
  <c r="Y431" i="1"/>
  <c r="X431" i="1"/>
  <c r="W431" i="1"/>
  <c r="V431" i="1"/>
  <c r="U431" i="1"/>
  <c r="T431" i="1"/>
  <c r="S431" i="1"/>
  <c r="R431" i="1"/>
  <c r="Q431" i="1"/>
  <c r="O431" i="1"/>
  <c r="K431" i="1"/>
  <c r="I431" i="1"/>
  <c r="H431" i="1"/>
  <c r="G431" i="1"/>
  <c r="F431" i="1"/>
  <c r="E431" i="1"/>
  <c r="D431" i="1"/>
  <c r="AE430" i="1"/>
  <c r="AA430" i="1"/>
  <c r="Z430" i="1"/>
  <c r="Y430" i="1"/>
  <c r="X430" i="1"/>
  <c r="W430" i="1"/>
  <c r="V430" i="1"/>
  <c r="U430" i="1"/>
  <c r="T430" i="1"/>
  <c r="S430" i="1"/>
  <c r="R430" i="1"/>
  <c r="Q430" i="1"/>
  <c r="O430" i="1"/>
  <c r="K430" i="1"/>
  <c r="I430" i="1"/>
  <c r="H430" i="1"/>
  <c r="G430" i="1"/>
  <c r="F430" i="1"/>
  <c r="E430" i="1"/>
  <c r="D430" i="1"/>
  <c r="AE429" i="1"/>
  <c r="AA429" i="1"/>
  <c r="Z429" i="1"/>
  <c r="Y429" i="1"/>
  <c r="X429" i="1"/>
  <c r="W429" i="1"/>
  <c r="V429" i="1"/>
  <c r="U429" i="1"/>
  <c r="T429" i="1"/>
  <c r="S429" i="1"/>
  <c r="R429" i="1"/>
  <c r="Q429" i="1"/>
  <c r="O429" i="1"/>
  <c r="K429" i="1"/>
  <c r="I429" i="1"/>
  <c r="H429" i="1"/>
  <c r="G429" i="1"/>
  <c r="F429" i="1"/>
  <c r="E429" i="1"/>
  <c r="D429" i="1"/>
  <c r="AE428" i="1"/>
  <c r="AA428" i="1"/>
  <c r="Z428" i="1"/>
  <c r="Y428" i="1"/>
  <c r="X428" i="1"/>
  <c r="W428" i="1"/>
  <c r="V428" i="1"/>
  <c r="U428" i="1"/>
  <c r="T428" i="1"/>
  <c r="S428" i="1"/>
  <c r="R428" i="1"/>
  <c r="Q428" i="1"/>
  <c r="O428" i="1"/>
  <c r="K428" i="1"/>
  <c r="I428" i="1"/>
  <c r="H428" i="1"/>
  <c r="G428" i="1"/>
  <c r="F428" i="1"/>
  <c r="E428" i="1"/>
  <c r="D428" i="1"/>
  <c r="AE427" i="1"/>
  <c r="AA427" i="1"/>
  <c r="Z427" i="1"/>
  <c r="Y427" i="1"/>
  <c r="X427" i="1"/>
  <c r="W427" i="1"/>
  <c r="V427" i="1"/>
  <c r="U427" i="1"/>
  <c r="T427" i="1"/>
  <c r="S427" i="1"/>
  <c r="R427" i="1"/>
  <c r="Q427" i="1"/>
  <c r="O427" i="1"/>
  <c r="K427" i="1"/>
  <c r="I427" i="1"/>
  <c r="H427" i="1"/>
  <c r="G427" i="1"/>
  <c r="F427" i="1"/>
  <c r="E427" i="1"/>
  <c r="D427" i="1"/>
  <c r="AE426" i="1"/>
  <c r="AA426" i="1"/>
  <c r="Z426" i="1"/>
  <c r="Y426" i="1"/>
  <c r="X426" i="1"/>
  <c r="W426" i="1"/>
  <c r="V426" i="1"/>
  <c r="U426" i="1"/>
  <c r="T426" i="1"/>
  <c r="S426" i="1"/>
  <c r="R426" i="1"/>
  <c r="Q426" i="1"/>
  <c r="O426" i="1"/>
  <c r="K426" i="1"/>
  <c r="I426" i="1"/>
  <c r="H426" i="1"/>
  <c r="G426" i="1"/>
  <c r="F426" i="1"/>
  <c r="E426" i="1"/>
  <c r="D426" i="1"/>
  <c r="AE425" i="1"/>
  <c r="AA425" i="1"/>
  <c r="Z425" i="1"/>
  <c r="Y425" i="1"/>
  <c r="X425" i="1"/>
  <c r="W425" i="1"/>
  <c r="V425" i="1"/>
  <c r="U425" i="1"/>
  <c r="T425" i="1"/>
  <c r="S425" i="1"/>
  <c r="R425" i="1"/>
  <c r="Q425" i="1"/>
  <c r="O425" i="1"/>
  <c r="K425" i="1"/>
  <c r="I425" i="1"/>
  <c r="H425" i="1"/>
  <c r="G425" i="1"/>
  <c r="F425" i="1"/>
  <c r="E425" i="1"/>
  <c r="D425" i="1"/>
  <c r="AE424" i="1"/>
  <c r="AA424" i="1"/>
  <c r="Z424" i="1"/>
  <c r="Y424" i="1"/>
  <c r="X424" i="1"/>
  <c r="W424" i="1"/>
  <c r="V424" i="1"/>
  <c r="U424" i="1"/>
  <c r="T424" i="1"/>
  <c r="S424" i="1"/>
  <c r="R424" i="1"/>
  <c r="Q424" i="1"/>
  <c r="O424" i="1"/>
  <c r="K424" i="1"/>
  <c r="I424" i="1"/>
  <c r="H424" i="1"/>
  <c r="G424" i="1"/>
  <c r="F424" i="1"/>
  <c r="E424" i="1"/>
  <c r="D424" i="1"/>
  <c r="AE423" i="1"/>
  <c r="AA423" i="1"/>
  <c r="Z423" i="1"/>
  <c r="Y423" i="1"/>
  <c r="X423" i="1"/>
  <c r="W423" i="1"/>
  <c r="V423" i="1"/>
  <c r="U423" i="1"/>
  <c r="T423" i="1"/>
  <c r="S423" i="1"/>
  <c r="R423" i="1"/>
  <c r="Q423" i="1"/>
  <c r="O423" i="1"/>
  <c r="K423" i="1"/>
  <c r="I423" i="1"/>
  <c r="H423" i="1"/>
  <c r="G423" i="1"/>
  <c r="F423" i="1"/>
  <c r="E423" i="1"/>
  <c r="D423" i="1"/>
  <c r="AE422" i="1"/>
  <c r="AA422" i="1"/>
  <c r="Z422" i="1"/>
  <c r="Y422" i="1"/>
  <c r="X422" i="1"/>
  <c r="W422" i="1"/>
  <c r="V422" i="1"/>
  <c r="U422" i="1"/>
  <c r="T422" i="1"/>
  <c r="S422" i="1"/>
  <c r="R422" i="1"/>
  <c r="Q422" i="1"/>
  <c r="O422" i="1"/>
  <c r="K422" i="1"/>
  <c r="I422" i="1"/>
  <c r="H422" i="1"/>
  <c r="G422" i="1"/>
  <c r="F422" i="1"/>
  <c r="E422" i="1"/>
  <c r="D422" i="1"/>
  <c r="AE421" i="1"/>
  <c r="AA421" i="1"/>
  <c r="Z421" i="1"/>
  <c r="Y421" i="1"/>
  <c r="X421" i="1"/>
  <c r="W421" i="1"/>
  <c r="V421" i="1"/>
  <c r="U421" i="1"/>
  <c r="T421" i="1"/>
  <c r="S421" i="1"/>
  <c r="R421" i="1"/>
  <c r="Q421" i="1"/>
  <c r="O421" i="1"/>
  <c r="K421" i="1"/>
  <c r="I421" i="1"/>
  <c r="H421" i="1"/>
  <c r="G421" i="1"/>
  <c r="F421" i="1"/>
  <c r="E421" i="1"/>
  <c r="D421" i="1"/>
  <c r="AE420" i="1"/>
  <c r="AA420" i="1"/>
  <c r="Z420" i="1"/>
  <c r="Y420" i="1"/>
  <c r="X420" i="1"/>
  <c r="W420" i="1"/>
  <c r="V420" i="1"/>
  <c r="U420" i="1"/>
  <c r="T420" i="1"/>
  <c r="S420" i="1"/>
  <c r="R420" i="1"/>
  <c r="Q420" i="1"/>
  <c r="O420" i="1"/>
  <c r="K420" i="1"/>
  <c r="I420" i="1"/>
  <c r="H420" i="1"/>
  <c r="G420" i="1"/>
  <c r="F420" i="1"/>
  <c r="E420" i="1"/>
  <c r="D420" i="1"/>
  <c r="AE419" i="1"/>
  <c r="AA419" i="1"/>
  <c r="Z419" i="1"/>
  <c r="Y419" i="1"/>
  <c r="X419" i="1"/>
  <c r="W419" i="1"/>
  <c r="V419" i="1"/>
  <c r="U419" i="1"/>
  <c r="T419" i="1"/>
  <c r="S419" i="1"/>
  <c r="R419" i="1"/>
  <c r="Q419" i="1"/>
  <c r="O419" i="1"/>
  <c r="K419" i="1"/>
  <c r="I419" i="1"/>
  <c r="H419" i="1"/>
  <c r="G419" i="1"/>
  <c r="F419" i="1"/>
  <c r="E419" i="1"/>
  <c r="D419" i="1"/>
  <c r="AE418" i="1"/>
  <c r="AA418" i="1"/>
  <c r="Z418" i="1"/>
  <c r="Y418" i="1"/>
  <c r="X418" i="1"/>
  <c r="W418" i="1"/>
  <c r="V418" i="1"/>
  <c r="U418" i="1"/>
  <c r="T418" i="1"/>
  <c r="S418" i="1"/>
  <c r="R418" i="1"/>
  <c r="Q418" i="1"/>
  <c r="O418" i="1"/>
  <c r="K418" i="1"/>
  <c r="I418" i="1"/>
  <c r="H418" i="1"/>
  <c r="G418" i="1"/>
  <c r="F418" i="1"/>
  <c r="E418" i="1"/>
  <c r="D418" i="1"/>
  <c r="AE417" i="1"/>
  <c r="AA417" i="1"/>
  <c r="Z417" i="1"/>
  <c r="Y417" i="1"/>
  <c r="X417" i="1"/>
  <c r="W417" i="1"/>
  <c r="V417" i="1"/>
  <c r="U417" i="1"/>
  <c r="T417" i="1"/>
  <c r="S417" i="1"/>
  <c r="R417" i="1"/>
  <c r="Q417" i="1"/>
  <c r="O417" i="1"/>
  <c r="K417" i="1"/>
  <c r="I417" i="1"/>
  <c r="H417" i="1"/>
  <c r="G417" i="1"/>
  <c r="F417" i="1"/>
  <c r="E417" i="1"/>
  <c r="D417" i="1"/>
  <c r="AE416" i="1"/>
  <c r="AA416" i="1"/>
  <c r="Z416" i="1"/>
  <c r="Y416" i="1"/>
  <c r="X416" i="1"/>
  <c r="W416" i="1"/>
  <c r="V416" i="1"/>
  <c r="U416" i="1"/>
  <c r="T416" i="1"/>
  <c r="S416" i="1"/>
  <c r="R416" i="1"/>
  <c r="Q416" i="1"/>
  <c r="O416" i="1"/>
  <c r="K416" i="1"/>
  <c r="I416" i="1"/>
  <c r="H416" i="1"/>
  <c r="G416" i="1"/>
  <c r="F416" i="1"/>
  <c r="E416" i="1"/>
  <c r="D416" i="1"/>
  <c r="AE415" i="1"/>
  <c r="AA415" i="1"/>
  <c r="Z415" i="1"/>
  <c r="Y415" i="1"/>
  <c r="X415" i="1"/>
  <c r="W415" i="1"/>
  <c r="V415" i="1"/>
  <c r="U415" i="1"/>
  <c r="T415" i="1"/>
  <c r="S415" i="1"/>
  <c r="R415" i="1"/>
  <c r="Q415" i="1"/>
  <c r="O415" i="1"/>
  <c r="K415" i="1"/>
  <c r="I415" i="1"/>
  <c r="H415" i="1"/>
  <c r="G415" i="1"/>
  <c r="F415" i="1"/>
  <c r="E415" i="1"/>
  <c r="D415" i="1"/>
  <c r="AE414" i="1"/>
  <c r="AA414" i="1"/>
  <c r="Z414" i="1"/>
  <c r="Y414" i="1"/>
  <c r="X414" i="1"/>
  <c r="W414" i="1"/>
  <c r="V414" i="1"/>
  <c r="U414" i="1"/>
  <c r="T414" i="1"/>
  <c r="S414" i="1"/>
  <c r="R414" i="1"/>
  <c r="Q414" i="1"/>
  <c r="O414" i="1"/>
  <c r="K414" i="1"/>
  <c r="I414" i="1"/>
  <c r="H414" i="1"/>
  <c r="G414" i="1"/>
  <c r="F414" i="1"/>
  <c r="E414" i="1"/>
  <c r="D414" i="1"/>
  <c r="AE413" i="1"/>
  <c r="AA413" i="1"/>
  <c r="Z413" i="1"/>
  <c r="Y413" i="1"/>
  <c r="X413" i="1"/>
  <c r="W413" i="1"/>
  <c r="V413" i="1"/>
  <c r="U413" i="1"/>
  <c r="T413" i="1"/>
  <c r="S413" i="1"/>
  <c r="R413" i="1"/>
  <c r="Q413" i="1"/>
  <c r="O413" i="1"/>
  <c r="K413" i="1"/>
  <c r="I413" i="1"/>
  <c r="H413" i="1"/>
  <c r="G413" i="1"/>
  <c r="F413" i="1"/>
  <c r="E413" i="1"/>
  <c r="D413" i="1"/>
  <c r="AE412" i="1"/>
  <c r="AA412" i="1"/>
  <c r="Z412" i="1"/>
  <c r="Y412" i="1"/>
  <c r="X412" i="1"/>
  <c r="W412" i="1"/>
  <c r="V412" i="1"/>
  <c r="U412" i="1"/>
  <c r="T412" i="1"/>
  <c r="S412" i="1"/>
  <c r="R412" i="1"/>
  <c r="Q412" i="1"/>
  <c r="O412" i="1"/>
  <c r="K412" i="1"/>
  <c r="I412" i="1"/>
  <c r="H412" i="1"/>
  <c r="G412" i="1"/>
  <c r="F412" i="1"/>
  <c r="E412" i="1"/>
  <c r="D412" i="1"/>
  <c r="AE411" i="1"/>
  <c r="AA411" i="1"/>
  <c r="Z411" i="1"/>
  <c r="Y411" i="1"/>
  <c r="X411" i="1"/>
  <c r="W411" i="1"/>
  <c r="V411" i="1"/>
  <c r="U411" i="1"/>
  <c r="T411" i="1"/>
  <c r="S411" i="1"/>
  <c r="R411" i="1"/>
  <c r="Q411" i="1"/>
  <c r="O411" i="1"/>
  <c r="K411" i="1"/>
  <c r="I411" i="1"/>
  <c r="H411" i="1"/>
  <c r="G411" i="1"/>
  <c r="F411" i="1"/>
  <c r="E411" i="1"/>
  <c r="D411" i="1"/>
  <c r="AE410" i="1"/>
  <c r="AA410" i="1"/>
  <c r="Z410" i="1"/>
  <c r="Y410" i="1"/>
  <c r="X410" i="1"/>
  <c r="W410" i="1"/>
  <c r="V410" i="1"/>
  <c r="U410" i="1"/>
  <c r="T410" i="1"/>
  <c r="S410" i="1"/>
  <c r="R410" i="1"/>
  <c r="Q410" i="1"/>
  <c r="O410" i="1"/>
  <c r="K410" i="1"/>
  <c r="I410" i="1"/>
  <c r="H410" i="1"/>
  <c r="G410" i="1"/>
  <c r="F410" i="1"/>
  <c r="E410" i="1"/>
  <c r="D410" i="1"/>
  <c r="AE409" i="1"/>
  <c r="AA409" i="1"/>
  <c r="Z409" i="1"/>
  <c r="Y409" i="1"/>
  <c r="X409" i="1"/>
  <c r="W409" i="1"/>
  <c r="V409" i="1"/>
  <c r="U409" i="1"/>
  <c r="T409" i="1"/>
  <c r="S409" i="1"/>
  <c r="R409" i="1"/>
  <c r="Q409" i="1"/>
  <c r="O409" i="1"/>
  <c r="K409" i="1"/>
  <c r="I409" i="1"/>
  <c r="H409" i="1"/>
  <c r="G409" i="1"/>
  <c r="F409" i="1"/>
  <c r="E409" i="1"/>
  <c r="D409" i="1"/>
  <c r="AE408" i="1"/>
  <c r="AA408" i="1"/>
  <c r="Z408" i="1"/>
  <c r="Y408" i="1"/>
  <c r="X408" i="1"/>
  <c r="W408" i="1"/>
  <c r="V408" i="1"/>
  <c r="U408" i="1"/>
  <c r="T408" i="1"/>
  <c r="S408" i="1"/>
  <c r="R408" i="1"/>
  <c r="Q408" i="1"/>
  <c r="O408" i="1"/>
  <c r="K408" i="1"/>
  <c r="I408" i="1"/>
  <c r="H408" i="1"/>
  <c r="G408" i="1"/>
  <c r="F408" i="1"/>
  <c r="E408" i="1"/>
  <c r="D408" i="1"/>
  <c r="AE407" i="1"/>
  <c r="AA407" i="1"/>
  <c r="Z407" i="1"/>
  <c r="Y407" i="1"/>
  <c r="X407" i="1"/>
  <c r="W407" i="1"/>
  <c r="V407" i="1"/>
  <c r="U407" i="1"/>
  <c r="T407" i="1"/>
  <c r="S407" i="1"/>
  <c r="R407" i="1"/>
  <c r="Q407" i="1"/>
  <c r="O407" i="1"/>
  <c r="K407" i="1"/>
  <c r="I407" i="1"/>
  <c r="H407" i="1"/>
  <c r="G407" i="1"/>
  <c r="F407" i="1"/>
  <c r="E407" i="1"/>
  <c r="D407" i="1"/>
  <c r="AE406" i="1"/>
  <c r="AA406" i="1"/>
  <c r="Z406" i="1"/>
  <c r="Y406" i="1"/>
  <c r="X406" i="1"/>
  <c r="W406" i="1"/>
  <c r="V406" i="1"/>
  <c r="U406" i="1"/>
  <c r="T406" i="1"/>
  <c r="S406" i="1"/>
  <c r="R406" i="1"/>
  <c r="Q406" i="1"/>
  <c r="O406" i="1"/>
  <c r="K406" i="1"/>
  <c r="I406" i="1"/>
  <c r="H406" i="1"/>
  <c r="G406" i="1"/>
  <c r="F406" i="1"/>
  <c r="E406" i="1"/>
  <c r="D406" i="1"/>
  <c r="AE405" i="1"/>
  <c r="AA405" i="1"/>
  <c r="Z405" i="1"/>
  <c r="Y405" i="1"/>
  <c r="X405" i="1"/>
  <c r="W405" i="1"/>
  <c r="V405" i="1"/>
  <c r="U405" i="1"/>
  <c r="T405" i="1"/>
  <c r="S405" i="1"/>
  <c r="R405" i="1"/>
  <c r="Q405" i="1"/>
  <c r="O405" i="1"/>
  <c r="K405" i="1"/>
  <c r="I405" i="1"/>
  <c r="H405" i="1"/>
  <c r="G405" i="1"/>
  <c r="F405" i="1"/>
  <c r="E405" i="1"/>
  <c r="D405" i="1"/>
  <c r="AE404" i="1"/>
  <c r="AA404" i="1"/>
  <c r="Z404" i="1"/>
  <c r="Y404" i="1"/>
  <c r="X404" i="1"/>
  <c r="W404" i="1"/>
  <c r="V404" i="1"/>
  <c r="U404" i="1"/>
  <c r="T404" i="1"/>
  <c r="S404" i="1"/>
  <c r="R404" i="1"/>
  <c r="Q404" i="1"/>
  <c r="O404" i="1"/>
  <c r="K404" i="1"/>
  <c r="I404" i="1"/>
  <c r="H404" i="1"/>
  <c r="G404" i="1"/>
  <c r="F404" i="1"/>
  <c r="E404" i="1"/>
  <c r="D404" i="1"/>
  <c r="AE403" i="1"/>
  <c r="AA403" i="1"/>
  <c r="Z403" i="1"/>
  <c r="Y403" i="1"/>
  <c r="X403" i="1"/>
  <c r="W403" i="1"/>
  <c r="V403" i="1"/>
  <c r="U403" i="1"/>
  <c r="T403" i="1"/>
  <c r="S403" i="1"/>
  <c r="R403" i="1"/>
  <c r="Q403" i="1"/>
  <c r="O403" i="1"/>
  <c r="K403" i="1"/>
  <c r="I403" i="1"/>
  <c r="H403" i="1"/>
  <c r="G403" i="1"/>
  <c r="F403" i="1"/>
  <c r="E403" i="1"/>
  <c r="D403" i="1"/>
  <c r="AE402" i="1"/>
  <c r="AA402" i="1"/>
  <c r="Z402" i="1"/>
  <c r="Y402" i="1"/>
  <c r="X402" i="1"/>
  <c r="W402" i="1"/>
  <c r="V402" i="1"/>
  <c r="U402" i="1"/>
  <c r="T402" i="1"/>
  <c r="S402" i="1"/>
  <c r="R402" i="1"/>
  <c r="Q402" i="1"/>
  <c r="O402" i="1"/>
  <c r="K402" i="1"/>
  <c r="I402" i="1"/>
  <c r="H402" i="1"/>
  <c r="G402" i="1"/>
  <c r="F402" i="1"/>
  <c r="E402" i="1"/>
  <c r="D402" i="1"/>
  <c r="AE401" i="1"/>
  <c r="AA401" i="1"/>
  <c r="Z401" i="1"/>
  <c r="Y401" i="1"/>
  <c r="X401" i="1"/>
  <c r="W401" i="1"/>
  <c r="V401" i="1"/>
  <c r="U401" i="1"/>
  <c r="T401" i="1"/>
  <c r="S401" i="1"/>
  <c r="R401" i="1"/>
  <c r="Q401" i="1"/>
  <c r="O401" i="1"/>
  <c r="K401" i="1"/>
  <c r="I401" i="1"/>
  <c r="H401" i="1"/>
  <c r="G401" i="1"/>
  <c r="F401" i="1"/>
  <c r="E401" i="1"/>
  <c r="D401" i="1"/>
  <c r="AE400" i="1"/>
  <c r="AA400" i="1"/>
  <c r="Z400" i="1"/>
  <c r="Y400" i="1"/>
  <c r="X400" i="1"/>
  <c r="W400" i="1"/>
  <c r="V400" i="1"/>
  <c r="U400" i="1"/>
  <c r="T400" i="1"/>
  <c r="S400" i="1"/>
  <c r="R400" i="1"/>
  <c r="Q400" i="1"/>
  <c r="O400" i="1"/>
  <c r="K400" i="1"/>
  <c r="I400" i="1"/>
  <c r="H400" i="1"/>
  <c r="G400" i="1"/>
  <c r="F400" i="1"/>
  <c r="E400" i="1"/>
  <c r="D400" i="1"/>
  <c r="AE399" i="1"/>
  <c r="AA399" i="1"/>
  <c r="Z399" i="1"/>
  <c r="Y399" i="1"/>
  <c r="X399" i="1"/>
  <c r="W399" i="1"/>
  <c r="V399" i="1"/>
  <c r="U399" i="1"/>
  <c r="T399" i="1"/>
  <c r="S399" i="1"/>
  <c r="R399" i="1"/>
  <c r="Q399" i="1"/>
  <c r="O399" i="1"/>
  <c r="K399" i="1"/>
  <c r="I399" i="1"/>
  <c r="H399" i="1"/>
  <c r="G399" i="1"/>
  <c r="F399" i="1"/>
  <c r="E399" i="1"/>
  <c r="D399" i="1"/>
  <c r="AE398" i="1"/>
  <c r="AA398" i="1"/>
  <c r="Z398" i="1"/>
  <c r="Y398" i="1"/>
  <c r="X398" i="1"/>
  <c r="W398" i="1"/>
  <c r="V398" i="1"/>
  <c r="U398" i="1"/>
  <c r="T398" i="1"/>
  <c r="S398" i="1"/>
  <c r="R398" i="1"/>
  <c r="Q398" i="1"/>
  <c r="O398" i="1"/>
  <c r="K398" i="1"/>
  <c r="I398" i="1"/>
  <c r="H398" i="1"/>
  <c r="G398" i="1"/>
  <c r="F398" i="1"/>
  <c r="E398" i="1"/>
  <c r="D398" i="1"/>
  <c r="AE397" i="1"/>
  <c r="AA397" i="1"/>
  <c r="Z397" i="1"/>
  <c r="Y397" i="1"/>
  <c r="X397" i="1"/>
  <c r="W397" i="1"/>
  <c r="V397" i="1"/>
  <c r="U397" i="1"/>
  <c r="T397" i="1"/>
  <c r="S397" i="1"/>
  <c r="R397" i="1"/>
  <c r="Q397" i="1"/>
  <c r="O397" i="1"/>
  <c r="K397" i="1"/>
  <c r="I397" i="1"/>
  <c r="H397" i="1"/>
  <c r="G397" i="1"/>
  <c r="F397" i="1"/>
  <c r="E397" i="1"/>
  <c r="D397" i="1"/>
  <c r="AE396" i="1"/>
  <c r="AA396" i="1"/>
  <c r="Z396" i="1"/>
  <c r="Y396" i="1"/>
  <c r="X396" i="1"/>
  <c r="W396" i="1"/>
  <c r="V396" i="1"/>
  <c r="U396" i="1"/>
  <c r="T396" i="1"/>
  <c r="S396" i="1"/>
  <c r="R396" i="1"/>
  <c r="Q396" i="1"/>
  <c r="O396" i="1"/>
  <c r="K396" i="1"/>
  <c r="I396" i="1"/>
  <c r="H396" i="1"/>
  <c r="G396" i="1"/>
  <c r="F396" i="1"/>
  <c r="E396" i="1"/>
  <c r="D396" i="1"/>
  <c r="AE395" i="1"/>
  <c r="AA395" i="1"/>
  <c r="Z395" i="1"/>
  <c r="Y395" i="1"/>
  <c r="X395" i="1"/>
  <c r="W395" i="1"/>
  <c r="V395" i="1"/>
  <c r="U395" i="1"/>
  <c r="T395" i="1"/>
  <c r="S395" i="1"/>
  <c r="R395" i="1"/>
  <c r="Q395" i="1"/>
  <c r="O395" i="1"/>
  <c r="K395" i="1"/>
  <c r="I395" i="1"/>
  <c r="H395" i="1"/>
  <c r="G395" i="1"/>
  <c r="F395" i="1"/>
  <c r="E395" i="1"/>
  <c r="D395" i="1"/>
  <c r="AE394" i="1"/>
  <c r="AA394" i="1"/>
  <c r="Z394" i="1"/>
  <c r="Y394" i="1"/>
  <c r="X394" i="1"/>
  <c r="W394" i="1"/>
  <c r="V394" i="1"/>
  <c r="U394" i="1"/>
  <c r="T394" i="1"/>
  <c r="S394" i="1"/>
  <c r="R394" i="1"/>
  <c r="Q394" i="1"/>
  <c r="O394" i="1"/>
  <c r="K394" i="1"/>
  <c r="I394" i="1"/>
  <c r="H394" i="1"/>
  <c r="G394" i="1"/>
  <c r="F394" i="1"/>
  <c r="E394" i="1"/>
  <c r="D394" i="1"/>
  <c r="AE393" i="1"/>
  <c r="AA393" i="1"/>
  <c r="Z393" i="1"/>
  <c r="Y393" i="1"/>
  <c r="X393" i="1"/>
  <c r="W393" i="1"/>
  <c r="V393" i="1"/>
  <c r="U393" i="1"/>
  <c r="T393" i="1"/>
  <c r="S393" i="1"/>
  <c r="R393" i="1"/>
  <c r="Q393" i="1"/>
  <c r="O393" i="1"/>
  <c r="K393" i="1"/>
  <c r="I393" i="1"/>
  <c r="H393" i="1"/>
  <c r="G393" i="1"/>
  <c r="F393" i="1"/>
  <c r="E393" i="1"/>
  <c r="D393" i="1"/>
  <c r="AE392" i="1"/>
  <c r="AA392" i="1"/>
  <c r="Z392" i="1"/>
  <c r="Y392" i="1"/>
  <c r="X392" i="1"/>
  <c r="W392" i="1"/>
  <c r="V392" i="1"/>
  <c r="U392" i="1"/>
  <c r="T392" i="1"/>
  <c r="S392" i="1"/>
  <c r="R392" i="1"/>
  <c r="Q392" i="1"/>
  <c r="O392" i="1"/>
  <c r="K392" i="1"/>
  <c r="I392" i="1"/>
  <c r="H392" i="1"/>
  <c r="G392" i="1"/>
  <c r="F392" i="1"/>
  <c r="E392" i="1"/>
  <c r="D392" i="1"/>
  <c r="AE391" i="1"/>
  <c r="AA391" i="1"/>
  <c r="Z391" i="1"/>
  <c r="Y391" i="1"/>
  <c r="X391" i="1"/>
  <c r="W391" i="1"/>
  <c r="V391" i="1"/>
  <c r="U391" i="1"/>
  <c r="T391" i="1"/>
  <c r="S391" i="1"/>
  <c r="R391" i="1"/>
  <c r="Q391" i="1"/>
  <c r="O391" i="1"/>
  <c r="K391" i="1"/>
  <c r="I391" i="1"/>
  <c r="H391" i="1"/>
  <c r="G391" i="1"/>
  <c r="F391" i="1"/>
  <c r="E391" i="1"/>
  <c r="D391" i="1"/>
  <c r="AE390" i="1"/>
  <c r="AA390" i="1"/>
  <c r="Z390" i="1"/>
  <c r="Y390" i="1"/>
  <c r="X390" i="1"/>
  <c r="W390" i="1"/>
  <c r="V390" i="1"/>
  <c r="U390" i="1"/>
  <c r="T390" i="1"/>
  <c r="S390" i="1"/>
  <c r="R390" i="1"/>
  <c r="Q390" i="1"/>
  <c r="O390" i="1"/>
  <c r="K390" i="1"/>
  <c r="I390" i="1"/>
  <c r="H390" i="1"/>
  <c r="G390" i="1"/>
  <c r="F390" i="1"/>
  <c r="E390" i="1"/>
  <c r="D390" i="1"/>
  <c r="AE389" i="1"/>
  <c r="AA389" i="1"/>
  <c r="Z389" i="1"/>
  <c r="Y389" i="1"/>
  <c r="X389" i="1"/>
  <c r="W389" i="1"/>
  <c r="V389" i="1"/>
  <c r="U389" i="1"/>
  <c r="T389" i="1"/>
  <c r="S389" i="1"/>
  <c r="R389" i="1"/>
  <c r="Q389" i="1"/>
  <c r="O389" i="1"/>
  <c r="K389" i="1"/>
  <c r="I389" i="1"/>
  <c r="H389" i="1"/>
  <c r="G389" i="1"/>
  <c r="F389" i="1"/>
  <c r="E389" i="1"/>
  <c r="D389" i="1"/>
  <c r="AE388" i="1"/>
  <c r="AA388" i="1"/>
  <c r="Z388" i="1"/>
  <c r="Y388" i="1"/>
  <c r="X388" i="1"/>
  <c r="W388" i="1"/>
  <c r="V388" i="1"/>
  <c r="U388" i="1"/>
  <c r="T388" i="1"/>
  <c r="S388" i="1"/>
  <c r="R388" i="1"/>
  <c r="Q388" i="1"/>
  <c r="O388" i="1"/>
  <c r="K388" i="1"/>
  <c r="I388" i="1"/>
  <c r="H388" i="1"/>
  <c r="G388" i="1"/>
  <c r="F388" i="1"/>
  <c r="E388" i="1"/>
  <c r="D388" i="1"/>
  <c r="AE387" i="1"/>
  <c r="AA387" i="1"/>
  <c r="Z387" i="1"/>
  <c r="Y387" i="1"/>
  <c r="X387" i="1"/>
  <c r="W387" i="1"/>
  <c r="V387" i="1"/>
  <c r="U387" i="1"/>
  <c r="T387" i="1"/>
  <c r="S387" i="1"/>
  <c r="R387" i="1"/>
  <c r="Q387" i="1"/>
  <c r="O387" i="1"/>
  <c r="K387" i="1"/>
  <c r="I387" i="1"/>
  <c r="H387" i="1"/>
  <c r="G387" i="1"/>
  <c r="F387" i="1"/>
  <c r="E387" i="1"/>
  <c r="D387" i="1"/>
  <c r="AE386" i="1"/>
  <c r="AA386" i="1"/>
  <c r="Z386" i="1"/>
  <c r="Y386" i="1"/>
  <c r="X386" i="1"/>
  <c r="W386" i="1"/>
  <c r="V386" i="1"/>
  <c r="U386" i="1"/>
  <c r="T386" i="1"/>
  <c r="S386" i="1"/>
  <c r="R386" i="1"/>
  <c r="Q386" i="1"/>
  <c r="O386" i="1"/>
  <c r="K386" i="1"/>
  <c r="I386" i="1"/>
  <c r="H386" i="1"/>
  <c r="G386" i="1"/>
  <c r="F386" i="1"/>
  <c r="E386" i="1"/>
  <c r="D386" i="1"/>
  <c r="AE385" i="1"/>
  <c r="AA385" i="1"/>
  <c r="Z385" i="1"/>
  <c r="Y385" i="1"/>
  <c r="X385" i="1"/>
  <c r="W385" i="1"/>
  <c r="V385" i="1"/>
  <c r="U385" i="1"/>
  <c r="T385" i="1"/>
  <c r="S385" i="1"/>
  <c r="R385" i="1"/>
  <c r="Q385" i="1"/>
  <c r="O385" i="1"/>
  <c r="K385" i="1"/>
  <c r="I385" i="1"/>
  <c r="H385" i="1"/>
  <c r="G385" i="1"/>
  <c r="F385" i="1"/>
  <c r="E385" i="1"/>
  <c r="D385" i="1"/>
  <c r="AE384" i="1"/>
  <c r="AA384" i="1"/>
  <c r="Z384" i="1"/>
  <c r="Y384" i="1"/>
  <c r="X384" i="1"/>
  <c r="W384" i="1"/>
  <c r="V384" i="1"/>
  <c r="U384" i="1"/>
  <c r="T384" i="1"/>
  <c r="S384" i="1"/>
  <c r="R384" i="1"/>
  <c r="Q384" i="1"/>
  <c r="O384" i="1"/>
  <c r="K384" i="1"/>
  <c r="I384" i="1"/>
  <c r="H384" i="1"/>
  <c r="G384" i="1"/>
  <c r="F384" i="1"/>
  <c r="E384" i="1"/>
  <c r="D384" i="1"/>
  <c r="AE383" i="1"/>
  <c r="AA383" i="1"/>
  <c r="Z383" i="1"/>
  <c r="Y383" i="1"/>
  <c r="X383" i="1"/>
  <c r="W383" i="1"/>
  <c r="V383" i="1"/>
  <c r="U383" i="1"/>
  <c r="T383" i="1"/>
  <c r="S383" i="1"/>
  <c r="R383" i="1"/>
  <c r="Q383" i="1"/>
  <c r="O383" i="1"/>
  <c r="K383" i="1"/>
  <c r="I383" i="1"/>
  <c r="H383" i="1"/>
  <c r="G383" i="1"/>
  <c r="F383" i="1"/>
  <c r="E383" i="1"/>
  <c r="D383" i="1"/>
  <c r="AE382" i="1"/>
  <c r="AA382" i="1"/>
  <c r="Z382" i="1"/>
  <c r="Y382" i="1"/>
  <c r="X382" i="1"/>
  <c r="W382" i="1"/>
  <c r="V382" i="1"/>
  <c r="U382" i="1"/>
  <c r="T382" i="1"/>
  <c r="S382" i="1"/>
  <c r="R382" i="1"/>
  <c r="Q382" i="1"/>
  <c r="O382" i="1"/>
  <c r="K382" i="1"/>
  <c r="I382" i="1"/>
  <c r="H382" i="1"/>
  <c r="G382" i="1"/>
  <c r="F382" i="1"/>
  <c r="E382" i="1"/>
  <c r="D382" i="1"/>
  <c r="AE381" i="1"/>
  <c r="AA381" i="1"/>
  <c r="Z381" i="1"/>
  <c r="Y381" i="1"/>
  <c r="X381" i="1"/>
  <c r="W381" i="1"/>
  <c r="V381" i="1"/>
  <c r="U381" i="1"/>
  <c r="T381" i="1"/>
  <c r="S381" i="1"/>
  <c r="R381" i="1"/>
  <c r="Q381" i="1"/>
  <c r="O381" i="1"/>
  <c r="K381" i="1"/>
  <c r="I381" i="1"/>
  <c r="H381" i="1"/>
  <c r="G381" i="1"/>
  <c r="F381" i="1"/>
  <c r="E381" i="1"/>
  <c r="D381" i="1"/>
  <c r="AE380" i="1"/>
  <c r="AA380" i="1"/>
  <c r="Z380" i="1"/>
  <c r="Y380" i="1"/>
  <c r="X380" i="1"/>
  <c r="W380" i="1"/>
  <c r="V380" i="1"/>
  <c r="U380" i="1"/>
  <c r="T380" i="1"/>
  <c r="S380" i="1"/>
  <c r="R380" i="1"/>
  <c r="Q380" i="1"/>
  <c r="O380" i="1"/>
  <c r="K380" i="1"/>
  <c r="I380" i="1"/>
  <c r="H380" i="1"/>
  <c r="G380" i="1"/>
  <c r="F380" i="1"/>
  <c r="E380" i="1"/>
  <c r="D380" i="1"/>
  <c r="AE379" i="1"/>
  <c r="AA379" i="1"/>
  <c r="Z379" i="1"/>
  <c r="Y379" i="1"/>
  <c r="X379" i="1"/>
  <c r="W379" i="1"/>
  <c r="V379" i="1"/>
  <c r="U379" i="1"/>
  <c r="T379" i="1"/>
  <c r="S379" i="1"/>
  <c r="R379" i="1"/>
  <c r="Q379" i="1"/>
  <c r="O379" i="1"/>
  <c r="K379" i="1"/>
  <c r="I379" i="1"/>
  <c r="H379" i="1"/>
  <c r="G379" i="1"/>
  <c r="F379" i="1"/>
  <c r="E379" i="1"/>
  <c r="D379" i="1"/>
  <c r="AE378" i="1"/>
  <c r="AA378" i="1"/>
  <c r="Z378" i="1"/>
  <c r="Y378" i="1"/>
  <c r="X378" i="1"/>
  <c r="W378" i="1"/>
  <c r="V378" i="1"/>
  <c r="U378" i="1"/>
  <c r="T378" i="1"/>
  <c r="S378" i="1"/>
  <c r="R378" i="1"/>
  <c r="Q378" i="1"/>
  <c r="O378" i="1"/>
  <c r="K378" i="1"/>
  <c r="I378" i="1"/>
  <c r="H378" i="1"/>
  <c r="G378" i="1"/>
  <c r="F378" i="1"/>
  <c r="E378" i="1"/>
  <c r="D378" i="1"/>
  <c r="AE377" i="1"/>
  <c r="AA377" i="1"/>
  <c r="Z377" i="1"/>
  <c r="Y377" i="1"/>
  <c r="X377" i="1"/>
  <c r="W377" i="1"/>
  <c r="V377" i="1"/>
  <c r="U377" i="1"/>
  <c r="T377" i="1"/>
  <c r="S377" i="1"/>
  <c r="R377" i="1"/>
  <c r="Q377" i="1"/>
  <c r="O377" i="1"/>
  <c r="K377" i="1"/>
  <c r="I377" i="1"/>
  <c r="H377" i="1"/>
  <c r="G377" i="1"/>
  <c r="F377" i="1"/>
  <c r="E377" i="1"/>
  <c r="D377" i="1"/>
  <c r="AE376" i="1"/>
  <c r="AA376" i="1"/>
  <c r="Z376" i="1"/>
  <c r="Y376" i="1"/>
  <c r="X376" i="1"/>
  <c r="W376" i="1"/>
  <c r="V376" i="1"/>
  <c r="U376" i="1"/>
  <c r="T376" i="1"/>
  <c r="S376" i="1"/>
  <c r="R376" i="1"/>
  <c r="Q376" i="1"/>
  <c r="O376" i="1"/>
  <c r="K376" i="1"/>
  <c r="I376" i="1"/>
  <c r="H376" i="1"/>
  <c r="G376" i="1"/>
  <c r="F376" i="1"/>
  <c r="E376" i="1"/>
  <c r="D376" i="1"/>
  <c r="AE375" i="1"/>
  <c r="AA375" i="1"/>
  <c r="Z375" i="1"/>
  <c r="Y375" i="1"/>
  <c r="X375" i="1"/>
  <c r="W375" i="1"/>
  <c r="V375" i="1"/>
  <c r="U375" i="1"/>
  <c r="T375" i="1"/>
  <c r="S375" i="1"/>
  <c r="R375" i="1"/>
  <c r="Q375" i="1"/>
  <c r="O375" i="1"/>
  <c r="K375" i="1"/>
  <c r="I375" i="1"/>
  <c r="H375" i="1"/>
  <c r="G375" i="1"/>
  <c r="F375" i="1"/>
  <c r="E375" i="1"/>
  <c r="D375" i="1"/>
  <c r="AE374" i="1"/>
  <c r="AA374" i="1"/>
  <c r="Z374" i="1"/>
  <c r="Y374" i="1"/>
  <c r="X374" i="1"/>
  <c r="W374" i="1"/>
  <c r="V374" i="1"/>
  <c r="U374" i="1"/>
  <c r="T374" i="1"/>
  <c r="S374" i="1"/>
  <c r="R374" i="1"/>
  <c r="Q374" i="1"/>
  <c r="O374" i="1"/>
  <c r="K374" i="1"/>
  <c r="I374" i="1"/>
  <c r="H374" i="1"/>
  <c r="G374" i="1"/>
  <c r="F374" i="1"/>
  <c r="E374" i="1"/>
  <c r="D374" i="1"/>
  <c r="AE373" i="1"/>
  <c r="AA373" i="1"/>
  <c r="Z373" i="1"/>
  <c r="Y373" i="1"/>
  <c r="X373" i="1"/>
  <c r="W373" i="1"/>
  <c r="V373" i="1"/>
  <c r="U373" i="1"/>
  <c r="T373" i="1"/>
  <c r="S373" i="1"/>
  <c r="R373" i="1"/>
  <c r="Q373" i="1"/>
  <c r="O373" i="1"/>
  <c r="K373" i="1"/>
  <c r="I373" i="1"/>
  <c r="H373" i="1"/>
  <c r="G373" i="1"/>
  <c r="F373" i="1"/>
  <c r="E373" i="1"/>
  <c r="D373" i="1"/>
  <c r="AE372" i="1"/>
  <c r="AA372" i="1"/>
  <c r="Z372" i="1"/>
  <c r="Y372" i="1"/>
  <c r="X372" i="1"/>
  <c r="W372" i="1"/>
  <c r="V372" i="1"/>
  <c r="U372" i="1"/>
  <c r="T372" i="1"/>
  <c r="S372" i="1"/>
  <c r="R372" i="1"/>
  <c r="Q372" i="1"/>
  <c r="O372" i="1"/>
  <c r="K372" i="1"/>
  <c r="I372" i="1"/>
  <c r="H372" i="1"/>
  <c r="G372" i="1"/>
  <c r="F372" i="1"/>
  <c r="E372" i="1"/>
  <c r="D372" i="1"/>
  <c r="AE371" i="1"/>
  <c r="AA371" i="1"/>
  <c r="Z371" i="1"/>
  <c r="Y371" i="1"/>
  <c r="X371" i="1"/>
  <c r="W371" i="1"/>
  <c r="V371" i="1"/>
  <c r="U371" i="1"/>
  <c r="T371" i="1"/>
  <c r="S371" i="1"/>
  <c r="R371" i="1"/>
  <c r="Q371" i="1"/>
  <c r="O371" i="1"/>
  <c r="K371" i="1"/>
  <c r="I371" i="1"/>
  <c r="H371" i="1"/>
  <c r="G371" i="1"/>
  <c r="F371" i="1"/>
  <c r="E371" i="1"/>
  <c r="D371" i="1"/>
  <c r="AE370" i="1"/>
  <c r="AA370" i="1"/>
  <c r="Z370" i="1"/>
  <c r="Y370" i="1"/>
  <c r="X370" i="1"/>
  <c r="W370" i="1"/>
  <c r="V370" i="1"/>
  <c r="U370" i="1"/>
  <c r="T370" i="1"/>
  <c r="S370" i="1"/>
  <c r="R370" i="1"/>
  <c r="Q370" i="1"/>
  <c r="O370" i="1"/>
  <c r="K370" i="1"/>
  <c r="I370" i="1"/>
  <c r="H370" i="1"/>
  <c r="G370" i="1"/>
  <c r="F370" i="1"/>
  <c r="E370" i="1"/>
  <c r="D370" i="1"/>
  <c r="AE369" i="1"/>
  <c r="AA369" i="1"/>
  <c r="Z369" i="1"/>
  <c r="Y369" i="1"/>
  <c r="X369" i="1"/>
  <c r="W369" i="1"/>
  <c r="V369" i="1"/>
  <c r="U369" i="1"/>
  <c r="T369" i="1"/>
  <c r="S369" i="1"/>
  <c r="R369" i="1"/>
  <c r="Q369" i="1"/>
  <c r="O369" i="1"/>
  <c r="K369" i="1"/>
  <c r="I369" i="1"/>
  <c r="H369" i="1"/>
  <c r="G369" i="1"/>
  <c r="F369" i="1"/>
  <c r="E369" i="1"/>
  <c r="D369" i="1"/>
  <c r="AE368" i="1"/>
  <c r="AA368" i="1"/>
  <c r="Z368" i="1"/>
  <c r="Y368" i="1"/>
  <c r="X368" i="1"/>
  <c r="W368" i="1"/>
  <c r="V368" i="1"/>
  <c r="U368" i="1"/>
  <c r="T368" i="1"/>
  <c r="S368" i="1"/>
  <c r="R368" i="1"/>
  <c r="Q368" i="1"/>
  <c r="O368" i="1"/>
  <c r="K368" i="1"/>
  <c r="I368" i="1"/>
  <c r="H368" i="1"/>
  <c r="G368" i="1"/>
  <c r="F368" i="1"/>
  <c r="E368" i="1"/>
  <c r="D368" i="1"/>
  <c r="AE367" i="1"/>
  <c r="AA367" i="1"/>
  <c r="Z367" i="1"/>
  <c r="Y367" i="1"/>
  <c r="X367" i="1"/>
  <c r="W367" i="1"/>
  <c r="V367" i="1"/>
  <c r="U367" i="1"/>
  <c r="T367" i="1"/>
  <c r="S367" i="1"/>
  <c r="R367" i="1"/>
  <c r="Q367" i="1"/>
  <c r="O367" i="1"/>
  <c r="K367" i="1"/>
  <c r="I367" i="1"/>
  <c r="H367" i="1"/>
  <c r="G367" i="1"/>
  <c r="F367" i="1"/>
  <c r="E367" i="1"/>
  <c r="D367" i="1"/>
  <c r="AE366" i="1"/>
  <c r="AA366" i="1"/>
  <c r="Z366" i="1"/>
  <c r="Y366" i="1"/>
  <c r="X366" i="1"/>
  <c r="W366" i="1"/>
  <c r="V366" i="1"/>
  <c r="U366" i="1"/>
  <c r="T366" i="1"/>
  <c r="S366" i="1"/>
  <c r="R366" i="1"/>
  <c r="Q366" i="1"/>
  <c r="O366" i="1"/>
  <c r="K366" i="1"/>
  <c r="I366" i="1"/>
  <c r="H366" i="1"/>
  <c r="G366" i="1"/>
  <c r="F366" i="1"/>
  <c r="E366" i="1"/>
  <c r="D366" i="1"/>
  <c r="AE365" i="1"/>
  <c r="AA365" i="1"/>
  <c r="Z365" i="1"/>
  <c r="Y365" i="1"/>
  <c r="X365" i="1"/>
  <c r="W365" i="1"/>
  <c r="V365" i="1"/>
  <c r="U365" i="1"/>
  <c r="T365" i="1"/>
  <c r="S365" i="1"/>
  <c r="R365" i="1"/>
  <c r="Q365" i="1"/>
  <c r="O365" i="1"/>
  <c r="K365" i="1"/>
  <c r="I365" i="1"/>
  <c r="H365" i="1"/>
  <c r="G365" i="1"/>
  <c r="F365" i="1"/>
  <c r="E365" i="1"/>
  <c r="D365" i="1"/>
  <c r="AE364" i="1"/>
  <c r="AA364" i="1"/>
  <c r="Z364" i="1"/>
  <c r="Y364" i="1"/>
  <c r="X364" i="1"/>
  <c r="W364" i="1"/>
  <c r="V364" i="1"/>
  <c r="U364" i="1"/>
  <c r="T364" i="1"/>
  <c r="S364" i="1"/>
  <c r="R364" i="1"/>
  <c r="Q364" i="1"/>
  <c r="O364" i="1"/>
  <c r="K364" i="1"/>
  <c r="I364" i="1"/>
  <c r="H364" i="1"/>
  <c r="G364" i="1"/>
  <c r="F364" i="1"/>
  <c r="E364" i="1"/>
  <c r="D364" i="1"/>
  <c r="AE363" i="1"/>
  <c r="AA363" i="1"/>
  <c r="Z363" i="1"/>
  <c r="Y363" i="1"/>
  <c r="X363" i="1"/>
  <c r="W363" i="1"/>
  <c r="V363" i="1"/>
  <c r="U363" i="1"/>
  <c r="T363" i="1"/>
  <c r="S363" i="1"/>
  <c r="R363" i="1"/>
  <c r="Q363" i="1"/>
  <c r="O363" i="1"/>
  <c r="K363" i="1"/>
  <c r="I363" i="1"/>
  <c r="H363" i="1"/>
  <c r="G363" i="1"/>
  <c r="F363" i="1"/>
  <c r="E363" i="1"/>
  <c r="D363" i="1"/>
  <c r="AE362" i="1"/>
  <c r="AA362" i="1"/>
  <c r="Z362" i="1"/>
  <c r="Y362" i="1"/>
  <c r="X362" i="1"/>
  <c r="W362" i="1"/>
  <c r="V362" i="1"/>
  <c r="U362" i="1"/>
  <c r="T362" i="1"/>
  <c r="S362" i="1"/>
  <c r="R362" i="1"/>
  <c r="Q362" i="1"/>
  <c r="O362" i="1"/>
  <c r="K362" i="1"/>
  <c r="I362" i="1"/>
  <c r="H362" i="1"/>
  <c r="G362" i="1"/>
  <c r="F362" i="1"/>
  <c r="E362" i="1"/>
  <c r="D362" i="1"/>
  <c r="AE361" i="1"/>
  <c r="AA361" i="1"/>
  <c r="Z361" i="1"/>
  <c r="Y361" i="1"/>
  <c r="X361" i="1"/>
  <c r="W361" i="1"/>
  <c r="V361" i="1"/>
  <c r="U361" i="1"/>
  <c r="T361" i="1"/>
  <c r="S361" i="1"/>
  <c r="R361" i="1"/>
  <c r="Q361" i="1"/>
  <c r="O361" i="1"/>
  <c r="K361" i="1"/>
  <c r="I361" i="1"/>
  <c r="H361" i="1"/>
  <c r="G361" i="1"/>
  <c r="F361" i="1"/>
  <c r="E361" i="1"/>
  <c r="D361" i="1"/>
  <c r="AE360" i="1"/>
  <c r="AA360" i="1"/>
  <c r="Z360" i="1"/>
  <c r="Y360" i="1"/>
  <c r="X360" i="1"/>
  <c r="W360" i="1"/>
  <c r="V360" i="1"/>
  <c r="U360" i="1"/>
  <c r="T360" i="1"/>
  <c r="S360" i="1"/>
  <c r="R360" i="1"/>
  <c r="Q360" i="1"/>
  <c r="O360" i="1"/>
  <c r="K360" i="1"/>
  <c r="I360" i="1"/>
  <c r="H360" i="1"/>
  <c r="G360" i="1"/>
  <c r="F360" i="1"/>
  <c r="E360" i="1"/>
  <c r="D360" i="1"/>
  <c r="AE359" i="1"/>
  <c r="AA359" i="1"/>
  <c r="Z359" i="1"/>
  <c r="Y359" i="1"/>
  <c r="X359" i="1"/>
  <c r="W359" i="1"/>
  <c r="V359" i="1"/>
  <c r="U359" i="1"/>
  <c r="T359" i="1"/>
  <c r="S359" i="1"/>
  <c r="R359" i="1"/>
  <c r="Q359" i="1"/>
  <c r="O359" i="1"/>
  <c r="K359" i="1"/>
  <c r="I359" i="1"/>
  <c r="H359" i="1"/>
  <c r="G359" i="1"/>
  <c r="F359" i="1"/>
  <c r="E359" i="1"/>
  <c r="D359" i="1"/>
  <c r="AE358" i="1"/>
  <c r="AA358" i="1"/>
  <c r="Z358" i="1"/>
  <c r="Y358" i="1"/>
  <c r="X358" i="1"/>
  <c r="W358" i="1"/>
  <c r="V358" i="1"/>
  <c r="U358" i="1"/>
  <c r="T358" i="1"/>
  <c r="S358" i="1"/>
  <c r="R358" i="1"/>
  <c r="Q358" i="1"/>
  <c r="O358" i="1"/>
  <c r="K358" i="1"/>
  <c r="I358" i="1"/>
  <c r="H358" i="1"/>
  <c r="G358" i="1"/>
  <c r="F358" i="1"/>
  <c r="E358" i="1"/>
  <c r="D358" i="1"/>
  <c r="AE357" i="1"/>
  <c r="AA357" i="1"/>
  <c r="Z357" i="1"/>
  <c r="Y357" i="1"/>
  <c r="X357" i="1"/>
  <c r="W357" i="1"/>
  <c r="V357" i="1"/>
  <c r="U357" i="1"/>
  <c r="T357" i="1"/>
  <c r="S357" i="1"/>
  <c r="R357" i="1"/>
  <c r="Q357" i="1"/>
  <c r="O357" i="1"/>
  <c r="K357" i="1"/>
  <c r="I357" i="1"/>
  <c r="H357" i="1"/>
  <c r="G357" i="1"/>
  <c r="F357" i="1"/>
  <c r="E357" i="1"/>
  <c r="D357" i="1"/>
  <c r="AE356" i="1"/>
  <c r="AA356" i="1"/>
  <c r="Z356" i="1"/>
  <c r="Y356" i="1"/>
  <c r="X356" i="1"/>
  <c r="W356" i="1"/>
  <c r="V356" i="1"/>
  <c r="U356" i="1"/>
  <c r="T356" i="1"/>
  <c r="S356" i="1"/>
  <c r="R356" i="1"/>
  <c r="Q356" i="1"/>
  <c r="O356" i="1"/>
  <c r="K356" i="1"/>
  <c r="I356" i="1"/>
  <c r="H356" i="1"/>
  <c r="G356" i="1"/>
  <c r="F356" i="1"/>
  <c r="E356" i="1"/>
  <c r="D356" i="1"/>
  <c r="AE355" i="1"/>
  <c r="AA355" i="1"/>
  <c r="Z355" i="1"/>
  <c r="Y355" i="1"/>
  <c r="X355" i="1"/>
  <c r="W355" i="1"/>
  <c r="V355" i="1"/>
  <c r="U355" i="1"/>
  <c r="T355" i="1"/>
  <c r="S355" i="1"/>
  <c r="R355" i="1"/>
  <c r="Q355" i="1"/>
  <c r="O355" i="1"/>
  <c r="K355" i="1"/>
  <c r="I355" i="1"/>
  <c r="H355" i="1"/>
  <c r="G355" i="1"/>
  <c r="F355" i="1"/>
  <c r="E355" i="1"/>
  <c r="D355" i="1"/>
  <c r="AE354" i="1"/>
  <c r="AA354" i="1"/>
  <c r="Z354" i="1"/>
  <c r="Y354" i="1"/>
  <c r="X354" i="1"/>
  <c r="W354" i="1"/>
  <c r="V354" i="1"/>
  <c r="U354" i="1"/>
  <c r="T354" i="1"/>
  <c r="S354" i="1"/>
  <c r="R354" i="1"/>
  <c r="Q354" i="1"/>
  <c r="O354" i="1"/>
  <c r="K354" i="1"/>
  <c r="I354" i="1"/>
  <c r="H354" i="1"/>
  <c r="G354" i="1"/>
  <c r="F354" i="1"/>
  <c r="E354" i="1"/>
  <c r="D354" i="1"/>
  <c r="AE353" i="1"/>
  <c r="AA353" i="1"/>
  <c r="Z353" i="1"/>
  <c r="Y353" i="1"/>
  <c r="X353" i="1"/>
  <c r="W353" i="1"/>
  <c r="V353" i="1"/>
  <c r="U353" i="1"/>
  <c r="T353" i="1"/>
  <c r="S353" i="1"/>
  <c r="R353" i="1"/>
  <c r="Q353" i="1"/>
  <c r="O353" i="1"/>
  <c r="K353" i="1"/>
  <c r="I353" i="1"/>
  <c r="H353" i="1"/>
  <c r="G353" i="1"/>
  <c r="F353" i="1"/>
  <c r="E353" i="1"/>
  <c r="D353" i="1"/>
  <c r="AE352" i="1"/>
  <c r="AA352" i="1"/>
  <c r="Z352" i="1"/>
  <c r="Y352" i="1"/>
  <c r="X352" i="1"/>
  <c r="W352" i="1"/>
  <c r="V352" i="1"/>
  <c r="U352" i="1"/>
  <c r="T352" i="1"/>
  <c r="S352" i="1"/>
  <c r="R352" i="1"/>
  <c r="Q352" i="1"/>
  <c r="O352" i="1"/>
  <c r="K352" i="1"/>
  <c r="I352" i="1"/>
  <c r="H352" i="1"/>
  <c r="G352" i="1"/>
  <c r="F352" i="1"/>
  <c r="E352" i="1"/>
  <c r="D352" i="1"/>
  <c r="AE351" i="1"/>
  <c r="AA351" i="1"/>
  <c r="Z351" i="1"/>
  <c r="Y351" i="1"/>
  <c r="X351" i="1"/>
  <c r="W351" i="1"/>
  <c r="V351" i="1"/>
  <c r="U351" i="1"/>
  <c r="T351" i="1"/>
  <c r="S351" i="1"/>
  <c r="R351" i="1"/>
  <c r="Q351" i="1"/>
  <c r="O351" i="1"/>
  <c r="K351" i="1"/>
  <c r="I351" i="1"/>
  <c r="H351" i="1"/>
  <c r="G351" i="1"/>
  <c r="F351" i="1"/>
  <c r="E351" i="1"/>
  <c r="D351" i="1"/>
  <c r="AE350" i="1"/>
  <c r="AA350" i="1"/>
  <c r="Z350" i="1"/>
  <c r="Y350" i="1"/>
  <c r="X350" i="1"/>
  <c r="W350" i="1"/>
  <c r="V350" i="1"/>
  <c r="U350" i="1"/>
  <c r="T350" i="1"/>
  <c r="S350" i="1"/>
  <c r="R350" i="1"/>
  <c r="Q350" i="1"/>
  <c r="O350" i="1"/>
  <c r="K350" i="1"/>
  <c r="I350" i="1"/>
  <c r="H350" i="1"/>
  <c r="G350" i="1"/>
  <c r="F350" i="1"/>
  <c r="E350" i="1"/>
  <c r="D350" i="1"/>
  <c r="AE349" i="1"/>
  <c r="AA349" i="1"/>
  <c r="Z349" i="1"/>
  <c r="Y349" i="1"/>
  <c r="X349" i="1"/>
  <c r="W349" i="1"/>
  <c r="V349" i="1"/>
  <c r="U349" i="1"/>
  <c r="T349" i="1"/>
  <c r="S349" i="1"/>
  <c r="R349" i="1"/>
  <c r="Q349" i="1"/>
  <c r="O349" i="1"/>
  <c r="K349" i="1"/>
  <c r="I349" i="1"/>
  <c r="H349" i="1"/>
  <c r="G349" i="1"/>
  <c r="F349" i="1"/>
  <c r="E349" i="1"/>
  <c r="D349" i="1"/>
  <c r="AE348" i="1"/>
  <c r="AA348" i="1"/>
  <c r="Z348" i="1"/>
  <c r="Y348" i="1"/>
  <c r="X348" i="1"/>
  <c r="W348" i="1"/>
  <c r="V348" i="1"/>
  <c r="U348" i="1"/>
  <c r="T348" i="1"/>
  <c r="S348" i="1"/>
  <c r="R348" i="1"/>
  <c r="Q348" i="1"/>
  <c r="O348" i="1"/>
  <c r="K348" i="1"/>
  <c r="I348" i="1"/>
  <c r="H348" i="1"/>
  <c r="G348" i="1"/>
  <c r="F348" i="1"/>
  <c r="E348" i="1"/>
  <c r="D348" i="1"/>
  <c r="AE347" i="1"/>
  <c r="AA347" i="1"/>
  <c r="Z347" i="1"/>
  <c r="Y347" i="1"/>
  <c r="X347" i="1"/>
  <c r="W347" i="1"/>
  <c r="V347" i="1"/>
  <c r="U347" i="1"/>
  <c r="T347" i="1"/>
  <c r="S347" i="1"/>
  <c r="R347" i="1"/>
  <c r="Q347" i="1"/>
  <c r="O347" i="1"/>
  <c r="K347" i="1"/>
  <c r="I347" i="1"/>
  <c r="H347" i="1"/>
  <c r="G347" i="1"/>
  <c r="F347" i="1"/>
  <c r="E347" i="1"/>
  <c r="D347" i="1"/>
  <c r="AE346" i="1"/>
  <c r="AA346" i="1"/>
  <c r="Z346" i="1"/>
  <c r="Y346" i="1"/>
  <c r="X346" i="1"/>
  <c r="W346" i="1"/>
  <c r="V346" i="1"/>
  <c r="U346" i="1"/>
  <c r="T346" i="1"/>
  <c r="S346" i="1"/>
  <c r="R346" i="1"/>
  <c r="Q346" i="1"/>
  <c r="O346" i="1"/>
  <c r="K346" i="1"/>
  <c r="I346" i="1"/>
  <c r="H346" i="1"/>
  <c r="G346" i="1"/>
  <c r="F346" i="1"/>
  <c r="E346" i="1"/>
  <c r="D346" i="1"/>
  <c r="AE345" i="1"/>
  <c r="AA345" i="1"/>
  <c r="Z345" i="1"/>
  <c r="Y345" i="1"/>
  <c r="X345" i="1"/>
  <c r="W345" i="1"/>
  <c r="V345" i="1"/>
  <c r="U345" i="1"/>
  <c r="T345" i="1"/>
  <c r="S345" i="1"/>
  <c r="R345" i="1"/>
  <c r="Q345" i="1"/>
  <c r="O345" i="1"/>
  <c r="K345" i="1"/>
  <c r="I345" i="1"/>
  <c r="H345" i="1"/>
  <c r="G345" i="1"/>
  <c r="F345" i="1"/>
  <c r="E345" i="1"/>
  <c r="D345" i="1"/>
  <c r="AE344" i="1"/>
  <c r="AA344" i="1"/>
  <c r="Z344" i="1"/>
  <c r="Y344" i="1"/>
  <c r="X344" i="1"/>
  <c r="W344" i="1"/>
  <c r="V344" i="1"/>
  <c r="U344" i="1"/>
  <c r="T344" i="1"/>
  <c r="S344" i="1"/>
  <c r="R344" i="1"/>
  <c r="Q344" i="1"/>
  <c r="O344" i="1"/>
  <c r="K344" i="1"/>
  <c r="I344" i="1"/>
  <c r="H344" i="1"/>
  <c r="G344" i="1"/>
  <c r="F344" i="1"/>
  <c r="E344" i="1"/>
  <c r="D344" i="1"/>
  <c r="AE343" i="1"/>
  <c r="AA343" i="1"/>
  <c r="Z343" i="1"/>
  <c r="Y343" i="1"/>
  <c r="X343" i="1"/>
  <c r="W343" i="1"/>
  <c r="V343" i="1"/>
  <c r="U343" i="1"/>
  <c r="T343" i="1"/>
  <c r="S343" i="1"/>
  <c r="R343" i="1"/>
  <c r="Q343" i="1"/>
  <c r="O343" i="1"/>
  <c r="K343" i="1"/>
  <c r="I343" i="1"/>
  <c r="H343" i="1"/>
  <c r="G343" i="1"/>
  <c r="F343" i="1"/>
  <c r="E343" i="1"/>
  <c r="D343" i="1"/>
  <c r="AE342" i="1"/>
  <c r="AA342" i="1"/>
  <c r="Z342" i="1"/>
  <c r="Y342" i="1"/>
  <c r="X342" i="1"/>
  <c r="W342" i="1"/>
  <c r="V342" i="1"/>
  <c r="U342" i="1"/>
  <c r="T342" i="1"/>
  <c r="S342" i="1"/>
  <c r="R342" i="1"/>
  <c r="Q342" i="1"/>
  <c r="O342" i="1"/>
  <c r="K342" i="1"/>
  <c r="I342" i="1"/>
  <c r="H342" i="1"/>
  <c r="G342" i="1"/>
  <c r="F342" i="1"/>
  <c r="E342" i="1"/>
  <c r="D342" i="1"/>
  <c r="AE341" i="1"/>
  <c r="AA341" i="1"/>
  <c r="Z341" i="1"/>
  <c r="Y341" i="1"/>
  <c r="X341" i="1"/>
  <c r="W341" i="1"/>
  <c r="V341" i="1"/>
  <c r="U341" i="1"/>
  <c r="T341" i="1"/>
  <c r="S341" i="1"/>
  <c r="R341" i="1"/>
  <c r="Q341" i="1"/>
  <c r="O341" i="1"/>
  <c r="K341" i="1"/>
  <c r="I341" i="1"/>
  <c r="H341" i="1"/>
  <c r="G341" i="1"/>
  <c r="F341" i="1"/>
  <c r="E341" i="1"/>
  <c r="D341" i="1"/>
  <c r="AE340" i="1"/>
  <c r="AA340" i="1"/>
  <c r="Z340" i="1"/>
  <c r="Y340" i="1"/>
  <c r="X340" i="1"/>
  <c r="W340" i="1"/>
  <c r="V340" i="1"/>
  <c r="U340" i="1"/>
  <c r="T340" i="1"/>
  <c r="S340" i="1"/>
  <c r="R340" i="1"/>
  <c r="Q340" i="1"/>
  <c r="O340" i="1"/>
  <c r="K340" i="1"/>
  <c r="I340" i="1"/>
  <c r="H340" i="1"/>
  <c r="G340" i="1"/>
  <c r="F340" i="1"/>
  <c r="E340" i="1"/>
  <c r="D340" i="1"/>
  <c r="AE339" i="1"/>
  <c r="AA339" i="1"/>
  <c r="Z339" i="1"/>
  <c r="Y339" i="1"/>
  <c r="X339" i="1"/>
  <c r="W339" i="1"/>
  <c r="V339" i="1"/>
  <c r="U339" i="1"/>
  <c r="T339" i="1"/>
  <c r="S339" i="1"/>
  <c r="R339" i="1"/>
  <c r="Q339" i="1"/>
  <c r="O339" i="1"/>
  <c r="K339" i="1"/>
  <c r="I339" i="1"/>
  <c r="H339" i="1"/>
  <c r="G339" i="1"/>
  <c r="F339" i="1"/>
  <c r="E339" i="1"/>
  <c r="D339" i="1"/>
  <c r="AE338" i="1"/>
  <c r="AA338" i="1"/>
  <c r="Z338" i="1"/>
  <c r="Y338" i="1"/>
  <c r="X338" i="1"/>
  <c r="W338" i="1"/>
  <c r="V338" i="1"/>
  <c r="U338" i="1"/>
  <c r="T338" i="1"/>
  <c r="S338" i="1"/>
  <c r="R338" i="1"/>
  <c r="Q338" i="1"/>
  <c r="O338" i="1"/>
  <c r="K338" i="1"/>
  <c r="I338" i="1"/>
  <c r="H338" i="1"/>
  <c r="G338" i="1"/>
  <c r="F338" i="1"/>
  <c r="E338" i="1"/>
  <c r="D338" i="1"/>
  <c r="AE337" i="1"/>
  <c r="AA337" i="1"/>
  <c r="Z337" i="1"/>
  <c r="Y337" i="1"/>
  <c r="X337" i="1"/>
  <c r="W337" i="1"/>
  <c r="V337" i="1"/>
  <c r="U337" i="1"/>
  <c r="T337" i="1"/>
  <c r="S337" i="1"/>
  <c r="R337" i="1"/>
  <c r="Q337" i="1"/>
  <c r="O337" i="1"/>
  <c r="K337" i="1"/>
  <c r="I337" i="1"/>
  <c r="H337" i="1"/>
  <c r="G337" i="1"/>
  <c r="F337" i="1"/>
  <c r="E337" i="1"/>
  <c r="D337" i="1"/>
  <c r="AE336" i="1"/>
  <c r="AA336" i="1"/>
  <c r="Z336" i="1"/>
  <c r="Y336" i="1"/>
  <c r="X336" i="1"/>
  <c r="W336" i="1"/>
  <c r="V336" i="1"/>
  <c r="U336" i="1"/>
  <c r="T336" i="1"/>
  <c r="S336" i="1"/>
  <c r="R336" i="1"/>
  <c r="Q336" i="1"/>
  <c r="O336" i="1"/>
  <c r="K336" i="1"/>
  <c r="I336" i="1"/>
  <c r="H336" i="1"/>
  <c r="G336" i="1"/>
  <c r="F336" i="1"/>
  <c r="E336" i="1"/>
  <c r="D336" i="1"/>
  <c r="AE335" i="1"/>
  <c r="AA335" i="1"/>
  <c r="Z335" i="1"/>
  <c r="Y335" i="1"/>
  <c r="X335" i="1"/>
  <c r="W335" i="1"/>
  <c r="V335" i="1"/>
  <c r="U335" i="1"/>
  <c r="T335" i="1"/>
  <c r="S335" i="1"/>
  <c r="R335" i="1"/>
  <c r="Q335" i="1"/>
  <c r="O335" i="1"/>
  <c r="K335" i="1"/>
  <c r="I335" i="1"/>
  <c r="H335" i="1"/>
  <c r="G335" i="1"/>
  <c r="F335" i="1"/>
  <c r="E335" i="1"/>
  <c r="D335" i="1"/>
  <c r="AE334" i="1"/>
  <c r="AA334" i="1"/>
  <c r="Z334" i="1"/>
  <c r="Y334" i="1"/>
  <c r="X334" i="1"/>
  <c r="W334" i="1"/>
  <c r="V334" i="1"/>
  <c r="U334" i="1"/>
  <c r="T334" i="1"/>
  <c r="S334" i="1"/>
  <c r="R334" i="1"/>
  <c r="Q334" i="1"/>
  <c r="O334" i="1"/>
  <c r="K334" i="1"/>
  <c r="I334" i="1"/>
  <c r="H334" i="1"/>
  <c r="G334" i="1"/>
  <c r="F334" i="1"/>
  <c r="E334" i="1"/>
  <c r="D334" i="1"/>
  <c r="AE333" i="1"/>
  <c r="AA333" i="1"/>
  <c r="Z333" i="1"/>
  <c r="Y333" i="1"/>
  <c r="X333" i="1"/>
  <c r="W333" i="1"/>
  <c r="V333" i="1"/>
  <c r="U333" i="1"/>
  <c r="T333" i="1"/>
  <c r="S333" i="1"/>
  <c r="R333" i="1"/>
  <c r="Q333" i="1"/>
  <c r="O333" i="1"/>
  <c r="K333" i="1"/>
  <c r="I333" i="1"/>
  <c r="H333" i="1"/>
  <c r="G333" i="1"/>
  <c r="F333" i="1"/>
  <c r="E333" i="1"/>
  <c r="D333" i="1"/>
  <c r="AE332" i="1"/>
  <c r="AA332" i="1"/>
  <c r="Z332" i="1"/>
  <c r="Y332" i="1"/>
  <c r="X332" i="1"/>
  <c r="W332" i="1"/>
  <c r="V332" i="1"/>
  <c r="U332" i="1"/>
  <c r="T332" i="1"/>
  <c r="S332" i="1"/>
  <c r="R332" i="1"/>
  <c r="Q332" i="1"/>
  <c r="O332" i="1"/>
  <c r="K332" i="1"/>
  <c r="I332" i="1"/>
  <c r="H332" i="1"/>
  <c r="G332" i="1"/>
  <c r="F332" i="1"/>
  <c r="E332" i="1"/>
  <c r="D332" i="1"/>
  <c r="AE331" i="1"/>
  <c r="AA331" i="1"/>
  <c r="Z331" i="1"/>
  <c r="Y331" i="1"/>
  <c r="X331" i="1"/>
  <c r="W331" i="1"/>
  <c r="V331" i="1"/>
  <c r="U331" i="1"/>
  <c r="T331" i="1"/>
  <c r="S331" i="1"/>
  <c r="R331" i="1"/>
  <c r="Q331" i="1"/>
  <c r="O331" i="1"/>
  <c r="K331" i="1"/>
  <c r="I331" i="1"/>
  <c r="H331" i="1"/>
  <c r="G331" i="1"/>
  <c r="F331" i="1"/>
  <c r="E331" i="1"/>
  <c r="D331" i="1"/>
  <c r="AE330" i="1"/>
  <c r="AA330" i="1"/>
  <c r="Z330" i="1"/>
  <c r="Y330" i="1"/>
  <c r="X330" i="1"/>
  <c r="W330" i="1"/>
  <c r="V330" i="1"/>
  <c r="U330" i="1"/>
  <c r="T330" i="1"/>
  <c r="S330" i="1"/>
  <c r="R330" i="1"/>
  <c r="Q330" i="1"/>
  <c r="O330" i="1"/>
  <c r="K330" i="1"/>
  <c r="I330" i="1"/>
  <c r="H330" i="1"/>
  <c r="G330" i="1"/>
  <c r="F330" i="1"/>
  <c r="E330" i="1"/>
  <c r="D330" i="1"/>
  <c r="AE329" i="1"/>
  <c r="AA329" i="1"/>
  <c r="Z329" i="1"/>
  <c r="Y329" i="1"/>
  <c r="X329" i="1"/>
  <c r="W329" i="1"/>
  <c r="V329" i="1"/>
  <c r="U329" i="1"/>
  <c r="T329" i="1"/>
  <c r="S329" i="1"/>
  <c r="R329" i="1"/>
  <c r="Q329" i="1"/>
  <c r="O329" i="1"/>
  <c r="K329" i="1"/>
  <c r="I329" i="1"/>
  <c r="H329" i="1"/>
  <c r="G329" i="1"/>
  <c r="F329" i="1"/>
  <c r="E329" i="1"/>
  <c r="D329" i="1"/>
  <c r="AE328" i="1"/>
  <c r="AA328" i="1"/>
  <c r="Z328" i="1"/>
  <c r="Y328" i="1"/>
  <c r="X328" i="1"/>
  <c r="W328" i="1"/>
  <c r="V328" i="1"/>
  <c r="U328" i="1"/>
  <c r="T328" i="1"/>
  <c r="S328" i="1"/>
  <c r="R328" i="1"/>
  <c r="Q328" i="1"/>
  <c r="O328" i="1"/>
  <c r="K328" i="1"/>
  <c r="I328" i="1"/>
  <c r="H328" i="1"/>
  <c r="G328" i="1"/>
  <c r="F328" i="1"/>
  <c r="E328" i="1"/>
  <c r="D328" i="1"/>
  <c r="AE327" i="1"/>
  <c r="AA327" i="1"/>
  <c r="Z327" i="1"/>
  <c r="Y327" i="1"/>
  <c r="X327" i="1"/>
  <c r="W327" i="1"/>
  <c r="V327" i="1"/>
  <c r="U327" i="1"/>
  <c r="T327" i="1"/>
  <c r="S327" i="1"/>
  <c r="R327" i="1"/>
  <c r="Q327" i="1"/>
  <c r="O327" i="1"/>
  <c r="K327" i="1"/>
  <c r="I327" i="1"/>
  <c r="H327" i="1"/>
  <c r="G327" i="1"/>
  <c r="F327" i="1"/>
  <c r="E327" i="1"/>
  <c r="D327" i="1"/>
  <c r="AE326" i="1"/>
  <c r="AA326" i="1"/>
  <c r="Z326" i="1"/>
  <c r="Y326" i="1"/>
  <c r="X326" i="1"/>
  <c r="W326" i="1"/>
  <c r="V326" i="1"/>
  <c r="U326" i="1"/>
  <c r="T326" i="1"/>
  <c r="S326" i="1"/>
  <c r="R326" i="1"/>
  <c r="Q326" i="1"/>
  <c r="O326" i="1"/>
  <c r="K326" i="1"/>
  <c r="I326" i="1"/>
  <c r="H326" i="1"/>
  <c r="G326" i="1"/>
  <c r="F326" i="1"/>
  <c r="E326" i="1"/>
  <c r="D326" i="1"/>
  <c r="AE325" i="1"/>
  <c r="AA325" i="1"/>
  <c r="Z325" i="1"/>
  <c r="Y325" i="1"/>
  <c r="X325" i="1"/>
  <c r="W325" i="1"/>
  <c r="V325" i="1"/>
  <c r="U325" i="1"/>
  <c r="T325" i="1"/>
  <c r="S325" i="1"/>
  <c r="R325" i="1"/>
  <c r="Q325" i="1"/>
  <c r="O325" i="1"/>
  <c r="K325" i="1"/>
  <c r="I325" i="1"/>
  <c r="H325" i="1"/>
  <c r="G325" i="1"/>
  <c r="F325" i="1"/>
  <c r="E325" i="1"/>
  <c r="D325" i="1"/>
  <c r="AE324" i="1"/>
  <c r="AA324" i="1"/>
  <c r="Z324" i="1"/>
  <c r="Y324" i="1"/>
  <c r="X324" i="1"/>
  <c r="W324" i="1"/>
  <c r="V324" i="1"/>
  <c r="U324" i="1"/>
  <c r="T324" i="1"/>
  <c r="S324" i="1"/>
  <c r="R324" i="1"/>
  <c r="Q324" i="1"/>
  <c r="O324" i="1"/>
  <c r="K324" i="1"/>
  <c r="I324" i="1"/>
  <c r="H324" i="1"/>
  <c r="G324" i="1"/>
  <c r="F324" i="1"/>
  <c r="E324" i="1"/>
  <c r="D324" i="1"/>
  <c r="AE323" i="1"/>
  <c r="AA323" i="1"/>
  <c r="Z323" i="1"/>
  <c r="Y323" i="1"/>
  <c r="X323" i="1"/>
  <c r="W323" i="1"/>
  <c r="V323" i="1"/>
  <c r="U323" i="1"/>
  <c r="T323" i="1"/>
  <c r="S323" i="1"/>
  <c r="R323" i="1"/>
  <c r="Q323" i="1"/>
  <c r="O323" i="1"/>
  <c r="K323" i="1"/>
  <c r="I323" i="1"/>
  <c r="H323" i="1"/>
  <c r="G323" i="1"/>
  <c r="F323" i="1"/>
  <c r="E323" i="1"/>
  <c r="D323" i="1"/>
  <c r="AE322" i="1"/>
  <c r="AA322" i="1"/>
  <c r="Z322" i="1"/>
  <c r="Y322" i="1"/>
  <c r="X322" i="1"/>
  <c r="W322" i="1"/>
  <c r="V322" i="1"/>
  <c r="U322" i="1"/>
  <c r="T322" i="1"/>
  <c r="S322" i="1"/>
  <c r="R322" i="1"/>
  <c r="Q322" i="1"/>
  <c r="O322" i="1"/>
  <c r="K322" i="1"/>
  <c r="I322" i="1"/>
  <c r="H322" i="1"/>
  <c r="G322" i="1"/>
  <c r="F322" i="1"/>
  <c r="E322" i="1"/>
  <c r="D322" i="1"/>
  <c r="AE321" i="1"/>
  <c r="AA321" i="1"/>
  <c r="Z321" i="1"/>
  <c r="Y321" i="1"/>
  <c r="X321" i="1"/>
  <c r="W321" i="1"/>
  <c r="V321" i="1"/>
  <c r="U321" i="1"/>
  <c r="T321" i="1"/>
  <c r="S321" i="1"/>
  <c r="R321" i="1"/>
  <c r="Q321" i="1"/>
  <c r="O321" i="1"/>
  <c r="K321" i="1"/>
  <c r="I321" i="1"/>
  <c r="H321" i="1"/>
  <c r="G321" i="1"/>
  <c r="F321" i="1"/>
  <c r="E321" i="1"/>
  <c r="D321" i="1"/>
  <c r="AE320" i="1"/>
  <c r="AA320" i="1"/>
  <c r="Z320" i="1"/>
  <c r="Y320" i="1"/>
  <c r="X320" i="1"/>
  <c r="W320" i="1"/>
  <c r="V320" i="1"/>
  <c r="U320" i="1"/>
  <c r="T320" i="1"/>
  <c r="S320" i="1"/>
  <c r="R320" i="1"/>
  <c r="Q320" i="1"/>
  <c r="O320" i="1"/>
  <c r="K320" i="1"/>
  <c r="I320" i="1"/>
  <c r="H320" i="1"/>
  <c r="G320" i="1"/>
  <c r="F320" i="1"/>
  <c r="E320" i="1"/>
  <c r="D320" i="1"/>
  <c r="AE319" i="1"/>
  <c r="AA319" i="1"/>
  <c r="Z319" i="1"/>
  <c r="Y319" i="1"/>
  <c r="X319" i="1"/>
  <c r="W319" i="1"/>
  <c r="V319" i="1"/>
  <c r="U319" i="1"/>
  <c r="T319" i="1"/>
  <c r="S319" i="1"/>
  <c r="R319" i="1"/>
  <c r="Q319" i="1"/>
  <c r="O319" i="1"/>
  <c r="K319" i="1"/>
  <c r="I319" i="1"/>
  <c r="H319" i="1"/>
  <c r="G319" i="1"/>
  <c r="F319" i="1"/>
  <c r="E319" i="1"/>
  <c r="D319" i="1"/>
  <c r="AE318" i="1"/>
  <c r="AA318" i="1"/>
  <c r="Z318" i="1"/>
  <c r="Y318" i="1"/>
  <c r="X318" i="1"/>
  <c r="W318" i="1"/>
  <c r="V318" i="1"/>
  <c r="U318" i="1"/>
  <c r="T318" i="1"/>
  <c r="S318" i="1"/>
  <c r="R318" i="1"/>
  <c r="Q318" i="1"/>
  <c r="O318" i="1"/>
  <c r="K318" i="1"/>
  <c r="I318" i="1"/>
  <c r="H318" i="1"/>
  <c r="G318" i="1"/>
  <c r="F318" i="1"/>
  <c r="E318" i="1"/>
  <c r="D318" i="1"/>
  <c r="AE317" i="1"/>
  <c r="AA317" i="1"/>
  <c r="Z317" i="1"/>
  <c r="Y317" i="1"/>
  <c r="X317" i="1"/>
  <c r="W317" i="1"/>
  <c r="V317" i="1"/>
  <c r="U317" i="1"/>
  <c r="T317" i="1"/>
  <c r="S317" i="1"/>
  <c r="R317" i="1"/>
  <c r="Q317" i="1"/>
  <c r="O317" i="1"/>
  <c r="K317" i="1"/>
  <c r="I317" i="1"/>
  <c r="H317" i="1"/>
  <c r="G317" i="1"/>
  <c r="F317" i="1"/>
  <c r="E317" i="1"/>
  <c r="D317" i="1"/>
  <c r="AE316" i="1"/>
  <c r="AA316" i="1"/>
  <c r="Z316" i="1"/>
  <c r="Y316" i="1"/>
  <c r="X316" i="1"/>
  <c r="W316" i="1"/>
  <c r="V316" i="1"/>
  <c r="U316" i="1"/>
  <c r="T316" i="1"/>
  <c r="S316" i="1"/>
  <c r="R316" i="1"/>
  <c r="Q316" i="1"/>
  <c r="O316" i="1"/>
  <c r="K316" i="1"/>
  <c r="I316" i="1"/>
  <c r="H316" i="1"/>
  <c r="G316" i="1"/>
  <c r="F316" i="1"/>
  <c r="E316" i="1"/>
  <c r="D316" i="1"/>
  <c r="AE315" i="1"/>
  <c r="AA315" i="1"/>
  <c r="Z315" i="1"/>
  <c r="Y315" i="1"/>
  <c r="X315" i="1"/>
  <c r="W315" i="1"/>
  <c r="V315" i="1"/>
  <c r="U315" i="1"/>
  <c r="T315" i="1"/>
  <c r="S315" i="1"/>
  <c r="R315" i="1"/>
  <c r="Q315" i="1"/>
  <c r="O315" i="1"/>
  <c r="K315" i="1"/>
  <c r="I315" i="1"/>
  <c r="H315" i="1"/>
  <c r="G315" i="1"/>
  <c r="F315" i="1"/>
  <c r="E315" i="1"/>
  <c r="D315" i="1"/>
  <c r="AE314" i="1"/>
  <c r="AA314" i="1"/>
  <c r="Z314" i="1"/>
  <c r="Y314" i="1"/>
  <c r="X314" i="1"/>
  <c r="W314" i="1"/>
  <c r="V314" i="1"/>
  <c r="U314" i="1"/>
  <c r="T314" i="1"/>
  <c r="S314" i="1"/>
  <c r="R314" i="1"/>
  <c r="Q314" i="1"/>
  <c r="O314" i="1"/>
  <c r="K314" i="1"/>
  <c r="I314" i="1"/>
  <c r="H314" i="1"/>
  <c r="G314" i="1"/>
  <c r="F314" i="1"/>
  <c r="E314" i="1"/>
  <c r="D314" i="1"/>
  <c r="AE313" i="1"/>
  <c r="AA313" i="1"/>
  <c r="Z313" i="1"/>
  <c r="Y313" i="1"/>
  <c r="X313" i="1"/>
  <c r="W313" i="1"/>
  <c r="V313" i="1"/>
  <c r="U313" i="1"/>
  <c r="T313" i="1"/>
  <c r="S313" i="1"/>
  <c r="R313" i="1"/>
  <c r="Q313" i="1"/>
  <c r="O313" i="1"/>
  <c r="K313" i="1"/>
  <c r="I313" i="1"/>
  <c r="H313" i="1"/>
  <c r="G313" i="1"/>
  <c r="F313" i="1"/>
  <c r="E313" i="1"/>
  <c r="D313" i="1"/>
  <c r="AE312" i="1"/>
  <c r="AA312" i="1"/>
  <c r="Z312" i="1"/>
  <c r="Y312" i="1"/>
  <c r="X312" i="1"/>
  <c r="W312" i="1"/>
  <c r="V312" i="1"/>
  <c r="U312" i="1"/>
  <c r="T312" i="1"/>
  <c r="S312" i="1"/>
  <c r="R312" i="1"/>
  <c r="Q312" i="1"/>
  <c r="O312" i="1"/>
  <c r="K312" i="1"/>
  <c r="I312" i="1"/>
  <c r="H312" i="1"/>
  <c r="G312" i="1"/>
  <c r="F312" i="1"/>
  <c r="E312" i="1"/>
  <c r="D312" i="1"/>
  <c r="AE311" i="1"/>
  <c r="AA311" i="1"/>
  <c r="Z311" i="1"/>
  <c r="Y311" i="1"/>
  <c r="X311" i="1"/>
  <c r="W311" i="1"/>
  <c r="V311" i="1"/>
  <c r="U311" i="1"/>
  <c r="T311" i="1"/>
  <c r="S311" i="1"/>
  <c r="R311" i="1"/>
  <c r="Q311" i="1"/>
  <c r="O311" i="1"/>
  <c r="K311" i="1"/>
  <c r="I311" i="1"/>
  <c r="H311" i="1"/>
  <c r="G311" i="1"/>
  <c r="F311" i="1"/>
  <c r="E311" i="1"/>
  <c r="D311" i="1"/>
  <c r="AE310" i="1"/>
  <c r="AA310" i="1"/>
  <c r="Z310" i="1"/>
  <c r="Y310" i="1"/>
  <c r="X310" i="1"/>
  <c r="W310" i="1"/>
  <c r="V310" i="1"/>
  <c r="U310" i="1"/>
  <c r="T310" i="1"/>
  <c r="S310" i="1"/>
  <c r="R310" i="1"/>
  <c r="Q310" i="1"/>
  <c r="O310" i="1"/>
  <c r="K310" i="1"/>
  <c r="I310" i="1"/>
  <c r="H310" i="1"/>
  <c r="G310" i="1"/>
  <c r="F310" i="1"/>
  <c r="E310" i="1"/>
  <c r="D310" i="1"/>
  <c r="AE309" i="1"/>
  <c r="AA309" i="1"/>
  <c r="Z309" i="1"/>
  <c r="Y309" i="1"/>
  <c r="X309" i="1"/>
  <c r="W309" i="1"/>
  <c r="V309" i="1"/>
  <c r="U309" i="1"/>
  <c r="T309" i="1"/>
  <c r="S309" i="1"/>
  <c r="R309" i="1"/>
  <c r="Q309" i="1"/>
  <c r="O309" i="1"/>
  <c r="K309" i="1"/>
  <c r="I309" i="1"/>
  <c r="H309" i="1"/>
  <c r="G309" i="1"/>
  <c r="F309" i="1"/>
  <c r="E309" i="1"/>
  <c r="D309" i="1"/>
  <c r="AE308" i="1"/>
  <c r="AA308" i="1"/>
  <c r="Z308" i="1"/>
  <c r="Y308" i="1"/>
  <c r="X308" i="1"/>
  <c r="W308" i="1"/>
  <c r="V308" i="1"/>
  <c r="U308" i="1"/>
  <c r="T308" i="1"/>
  <c r="S308" i="1"/>
  <c r="R308" i="1"/>
  <c r="Q308" i="1"/>
  <c r="O308" i="1"/>
  <c r="K308" i="1"/>
  <c r="I308" i="1"/>
  <c r="H308" i="1"/>
  <c r="G308" i="1"/>
  <c r="F308" i="1"/>
  <c r="E308" i="1"/>
  <c r="D308" i="1"/>
  <c r="AE307" i="1"/>
  <c r="AA307" i="1"/>
  <c r="Z307" i="1"/>
  <c r="Y307" i="1"/>
  <c r="X307" i="1"/>
  <c r="W307" i="1"/>
  <c r="V307" i="1"/>
  <c r="U307" i="1"/>
  <c r="T307" i="1"/>
  <c r="S307" i="1"/>
  <c r="R307" i="1"/>
  <c r="Q307" i="1"/>
  <c r="O307" i="1"/>
  <c r="K307" i="1"/>
  <c r="I307" i="1"/>
  <c r="H307" i="1"/>
  <c r="G307" i="1"/>
  <c r="F307" i="1"/>
  <c r="E307" i="1"/>
  <c r="D307" i="1"/>
  <c r="AE306" i="1"/>
  <c r="AA306" i="1"/>
  <c r="Z306" i="1"/>
  <c r="Y306" i="1"/>
  <c r="X306" i="1"/>
  <c r="W306" i="1"/>
  <c r="V306" i="1"/>
  <c r="U306" i="1"/>
  <c r="T306" i="1"/>
  <c r="S306" i="1"/>
  <c r="R306" i="1"/>
  <c r="Q306" i="1"/>
  <c r="O306" i="1"/>
  <c r="K306" i="1"/>
  <c r="I306" i="1"/>
  <c r="H306" i="1"/>
  <c r="G306" i="1"/>
  <c r="F306" i="1"/>
  <c r="E306" i="1"/>
  <c r="D306" i="1"/>
  <c r="AE305" i="1"/>
  <c r="AA305" i="1"/>
  <c r="Z305" i="1"/>
  <c r="Y305" i="1"/>
  <c r="X305" i="1"/>
  <c r="W305" i="1"/>
  <c r="V305" i="1"/>
  <c r="U305" i="1"/>
  <c r="T305" i="1"/>
  <c r="S305" i="1"/>
  <c r="R305" i="1"/>
  <c r="Q305" i="1"/>
  <c r="O305" i="1"/>
  <c r="K305" i="1"/>
  <c r="I305" i="1"/>
  <c r="H305" i="1"/>
  <c r="G305" i="1"/>
  <c r="F305" i="1"/>
  <c r="E305" i="1"/>
  <c r="D305" i="1"/>
  <c r="AE304" i="1"/>
  <c r="AA304" i="1"/>
  <c r="Z304" i="1"/>
  <c r="Y304" i="1"/>
  <c r="X304" i="1"/>
  <c r="W304" i="1"/>
  <c r="V304" i="1"/>
  <c r="U304" i="1"/>
  <c r="T304" i="1"/>
  <c r="S304" i="1"/>
  <c r="R304" i="1"/>
  <c r="Q304" i="1"/>
  <c r="O304" i="1"/>
  <c r="K304" i="1"/>
  <c r="I304" i="1"/>
  <c r="H304" i="1"/>
  <c r="G304" i="1"/>
  <c r="F304" i="1"/>
  <c r="E304" i="1"/>
  <c r="D304" i="1"/>
  <c r="AE303" i="1"/>
  <c r="AA303" i="1"/>
  <c r="Z303" i="1"/>
  <c r="Y303" i="1"/>
  <c r="X303" i="1"/>
  <c r="W303" i="1"/>
  <c r="V303" i="1"/>
  <c r="U303" i="1"/>
  <c r="T303" i="1"/>
  <c r="S303" i="1"/>
  <c r="R303" i="1"/>
  <c r="Q303" i="1"/>
  <c r="O303" i="1"/>
  <c r="K303" i="1"/>
  <c r="I303" i="1"/>
  <c r="H303" i="1"/>
  <c r="G303" i="1"/>
  <c r="F303" i="1"/>
  <c r="E303" i="1"/>
  <c r="D303" i="1"/>
  <c r="AE302" i="1"/>
  <c r="AA302" i="1"/>
  <c r="Z302" i="1"/>
  <c r="Y302" i="1"/>
  <c r="X302" i="1"/>
  <c r="W302" i="1"/>
  <c r="V302" i="1"/>
  <c r="U302" i="1"/>
  <c r="T302" i="1"/>
  <c r="S302" i="1"/>
  <c r="R302" i="1"/>
  <c r="Q302" i="1"/>
  <c r="O302" i="1"/>
  <c r="K302" i="1"/>
  <c r="I302" i="1"/>
  <c r="H302" i="1"/>
  <c r="G302" i="1"/>
  <c r="F302" i="1"/>
  <c r="E302" i="1"/>
  <c r="D302" i="1"/>
  <c r="AE301" i="1"/>
  <c r="AA301" i="1"/>
  <c r="Z301" i="1"/>
  <c r="Y301" i="1"/>
  <c r="X301" i="1"/>
  <c r="W301" i="1"/>
  <c r="V301" i="1"/>
  <c r="U301" i="1"/>
  <c r="T301" i="1"/>
  <c r="S301" i="1"/>
  <c r="R301" i="1"/>
  <c r="Q301" i="1"/>
  <c r="O301" i="1"/>
  <c r="K301" i="1"/>
  <c r="I301" i="1"/>
  <c r="H301" i="1"/>
  <c r="G301" i="1"/>
  <c r="F301" i="1"/>
  <c r="E301" i="1"/>
  <c r="D301" i="1"/>
  <c r="AE300" i="1"/>
  <c r="AA300" i="1"/>
  <c r="Z300" i="1"/>
  <c r="Y300" i="1"/>
  <c r="X300" i="1"/>
  <c r="W300" i="1"/>
  <c r="V300" i="1"/>
  <c r="U300" i="1"/>
  <c r="T300" i="1"/>
  <c r="S300" i="1"/>
  <c r="R300" i="1"/>
  <c r="Q300" i="1"/>
  <c r="O300" i="1"/>
  <c r="K300" i="1"/>
  <c r="I300" i="1"/>
  <c r="H300" i="1"/>
  <c r="G300" i="1"/>
  <c r="F300" i="1"/>
  <c r="E300" i="1"/>
  <c r="D300" i="1"/>
  <c r="AE299" i="1"/>
  <c r="AA299" i="1"/>
  <c r="Z299" i="1"/>
  <c r="Y299" i="1"/>
  <c r="X299" i="1"/>
  <c r="W299" i="1"/>
  <c r="V299" i="1"/>
  <c r="U299" i="1"/>
  <c r="T299" i="1"/>
  <c r="S299" i="1"/>
  <c r="R299" i="1"/>
  <c r="Q299" i="1"/>
  <c r="O299" i="1"/>
  <c r="K299" i="1"/>
  <c r="I299" i="1"/>
  <c r="H299" i="1"/>
  <c r="G299" i="1"/>
  <c r="F299" i="1"/>
  <c r="E299" i="1"/>
  <c r="D299" i="1"/>
  <c r="AE298" i="1"/>
  <c r="AA298" i="1"/>
  <c r="Z298" i="1"/>
  <c r="Y298" i="1"/>
  <c r="X298" i="1"/>
  <c r="W298" i="1"/>
  <c r="V298" i="1"/>
  <c r="U298" i="1"/>
  <c r="T298" i="1"/>
  <c r="S298" i="1"/>
  <c r="R298" i="1"/>
  <c r="Q298" i="1"/>
  <c r="O298" i="1"/>
  <c r="K298" i="1"/>
  <c r="I298" i="1"/>
  <c r="H298" i="1"/>
  <c r="G298" i="1"/>
  <c r="F298" i="1"/>
  <c r="E298" i="1"/>
  <c r="D298" i="1"/>
  <c r="AE297" i="1"/>
  <c r="AA297" i="1"/>
  <c r="Z297" i="1"/>
  <c r="Y297" i="1"/>
  <c r="X297" i="1"/>
  <c r="W297" i="1"/>
  <c r="V297" i="1"/>
  <c r="U297" i="1"/>
  <c r="T297" i="1"/>
  <c r="S297" i="1"/>
  <c r="R297" i="1"/>
  <c r="Q297" i="1"/>
  <c r="O297" i="1"/>
  <c r="K297" i="1"/>
  <c r="I297" i="1"/>
  <c r="H297" i="1"/>
  <c r="G297" i="1"/>
  <c r="F297" i="1"/>
  <c r="E297" i="1"/>
  <c r="D297" i="1"/>
  <c r="AE296" i="1"/>
  <c r="AA296" i="1"/>
  <c r="Z296" i="1"/>
  <c r="Y296" i="1"/>
  <c r="X296" i="1"/>
  <c r="W296" i="1"/>
  <c r="V296" i="1"/>
  <c r="U296" i="1"/>
  <c r="T296" i="1"/>
  <c r="S296" i="1"/>
  <c r="R296" i="1"/>
  <c r="Q296" i="1"/>
  <c r="O296" i="1"/>
  <c r="K296" i="1"/>
  <c r="I296" i="1"/>
  <c r="H296" i="1"/>
  <c r="G296" i="1"/>
  <c r="F296" i="1"/>
  <c r="E296" i="1"/>
  <c r="D296" i="1"/>
  <c r="AE295" i="1"/>
  <c r="AA295" i="1"/>
  <c r="Z295" i="1"/>
  <c r="Y295" i="1"/>
  <c r="X295" i="1"/>
  <c r="W295" i="1"/>
  <c r="V295" i="1"/>
  <c r="U295" i="1"/>
  <c r="T295" i="1"/>
  <c r="S295" i="1"/>
  <c r="R295" i="1"/>
  <c r="Q295" i="1"/>
  <c r="O295" i="1"/>
  <c r="K295" i="1"/>
  <c r="I295" i="1"/>
  <c r="H295" i="1"/>
  <c r="G295" i="1"/>
  <c r="F295" i="1"/>
  <c r="E295" i="1"/>
  <c r="D295" i="1"/>
  <c r="AE294" i="1"/>
  <c r="AA294" i="1"/>
  <c r="Z294" i="1"/>
  <c r="Y294" i="1"/>
  <c r="X294" i="1"/>
  <c r="W294" i="1"/>
  <c r="V294" i="1"/>
  <c r="U294" i="1"/>
  <c r="T294" i="1"/>
  <c r="S294" i="1"/>
  <c r="R294" i="1"/>
  <c r="Q294" i="1"/>
  <c r="O294" i="1"/>
  <c r="K294" i="1"/>
  <c r="I294" i="1"/>
  <c r="H294" i="1"/>
  <c r="G294" i="1"/>
  <c r="F294" i="1"/>
  <c r="E294" i="1"/>
  <c r="D294" i="1"/>
  <c r="AE293" i="1"/>
  <c r="AA293" i="1"/>
  <c r="Z293" i="1"/>
  <c r="Y293" i="1"/>
  <c r="X293" i="1"/>
  <c r="W293" i="1"/>
  <c r="V293" i="1"/>
  <c r="U293" i="1"/>
  <c r="T293" i="1"/>
  <c r="S293" i="1"/>
  <c r="R293" i="1"/>
  <c r="Q293" i="1"/>
  <c r="O293" i="1"/>
  <c r="K293" i="1"/>
  <c r="I293" i="1"/>
  <c r="H293" i="1"/>
  <c r="G293" i="1"/>
  <c r="F293" i="1"/>
  <c r="E293" i="1"/>
  <c r="D293" i="1"/>
  <c r="AE292" i="1"/>
  <c r="AA292" i="1"/>
  <c r="Z292" i="1"/>
  <c r="Y292" i="1"/>
  <c r="X292" i="1"/>
  <c r="W292" i="1"/>
  <c r="V292" i="1"/>
  <c r="U292" i="1"/>
  <c r="T292" i="1"/>
  <c r="S292" i="1"/>
  <c r="R292" i="1"/>
  <c r="Q292" i="1"/>
  <c r="O292" i="1"/>
  <c r="K292" i="1"/>
  <c r="I292" i="1"/>
  <c r="H292" i="1"/>
  <c r="G292" i="1"/>
  <c r="F292" i="1"/>
  <c r="E292" i="1"/>
  <c r="D292" i="1"/>
  <c r="AE291" i="1"/>
  <c r="AA291" i="1"/>
  <c r="Z291" i="1"/>
  <c r="Y291" i="1"/>
  <c r="X291" i="1"/>
  <c r="W291" i="1"/>
  <c r="V291" i="1"/>
  <c r="U291" i="1"/>
  <c r="T291" i="1"/>
  <c r="S291" i="1"/>
  <c r="R291" i="1"/>
  <c r="Q291" i="1"/>
  <c r="O291" i="1"/>
  <c r="K291" i="1"/>
  <c r="I291" i="1"/>
  <c r="H291" i="1"/>
  <c r="G291" i="1"/>
  <c r="F291" i="1"/>
  <c r="E291" i="1"/>
  <c r="D291" i="1"/>
  <c r="AE290" i="1"/>
  <c r="AA290" i="1"/>
  <c r="Z290" i="1"/>
  <c r="Y290" i="1"/>
  <c r="X290" i="1"/>
  <c r="W290" i="1"/>
  <c r="V290" i="1"/>
  <c r="U290" i="1"/>
  <c r="T290" i="1"/>
  <c r="S290" i="1"/>
  <c r="R290" i="1"/>
  <c r="Q290" i="1"/>
  <c r="O290" i="1"/>
  <c r="K290" i="1"/>
  <c r="I290" i="1"/>
  <c r="H290" i="1"/>
  <c r="G290" i="1"/>
  <c r="F290" i="1"/>
  <c r="E290" i="1"/>
  <c r="D290" i="1"/>
  <c r="AE289" i="1"/>
  <c r="AA289" i="1"/>
  <c r="Z289" i="1"/>
  <c r="Y289" i="1"/>
  <c r="X289" i="1"/>
  <c r="W289" i="1"/>
  <c r="V289" i="1"/>
  <c r="U289" i="1"/>
  <c r="T289" i="1"/>
  <c r="S289" i="1"/>
  <c r="R289" i="1"/>
  <c r="Q289" i="1"/>
  <c r="O289" i="1"/>
  <c r="K289" i="1"/>
  <c r="I289" i="1"/>
  <c r="H289" i="1"/>
  <c r="G289" i="1"/>
  <c r="F289" i="1"/>
  <c r="E289" i="1"/>
  <c r="D289" i="1"/>
  <c r="AE288" i="1"/>
  <c r="AA288" i="1"/>
  <c r="Z288" i="1"/>
  <c r="Y288" i="1"/>
  <c r="X288" i="1"/>
  <c r="W288" i="1"/>
  <c r="V288" i="1"/>
  <c r="U288" i="1"/>
  <c r="T288" i="1"/>
  <c r="S288" i="1"/>
  <c r="R288" i="1"/>
  <c r="Q288" i="1"/>
  <c r="O288" i="1"/>
  <c r="K288" i="1"/>
  <c r="I288" i="1"/>
  <c r="H288" i="1"/>
  <c r="G288" i="1"/>
  <c r="F288" i="1"/>
  <c r="E288" i="1"/>
  <c r="D288" i="1"/>
  <c r="AE287" i="1"/>
  <c r="AA287" i="1"/>
  <c r="Z287" i="1"/>
  <c r="Y287" i="1"/>
  <c r="X287" i="1"/>
  <c r="W287" i="1"/>
  <c r="V287" i="1"/>
  <c r="U287" i="1"/>
  <c r="T287" i="1"/>
  <c r="S287" i="1"/>
  <c r="R287" i="1"/>
  <c r="Q287" i="1"/>
  <c r="O287" i="1"/>
  <c r="K287" i="1"/>
  <c r="I287" i="1"/>
  <c r="H287" i="1"/>
  <c r="G287" i="1"/>
  <c r="F287" i="1"/>
  <c r="E287" i="1"/>
  <c r="D287" i="1"/>
  <c r="AE286" i="1"/>
  <c r="AA286" i="1"/>
  <c r="Z286" i="1"/>
  <c r="Y286" i="1"/>
  <c r="X286" i="1"/>
  <c r="W286" i="1"/>
  <c r="V286" i="1"/>
  <c r="U286" i="1"/>
  <c r="T286" i="1"/>
  <c r="S286" i="1"/>
  <c r="R286" i="1"/>
  <c r="Q286" i="1"/>
  <c r="O286" i="1"/>
  <c r="K286" i="1"/>
  <c r="I286" i="1"/>
  <c r="H286" i="1"/>
  <c r="G286" i="1"/>
  <c r="F286" i="1"/>
  <c r="E286" i="1"/>
  <c r="D286" i="1"/>
  <c r="AE285" i="1"/>
  <c r="AA285" i="1"/>
  <c r="Z285" i="1"/>
  <c r="Y285" i="1"/>
  <c r="X285" i="1"/>
  <c r="W285" i="1"/>
  <c r="V285" i="1"/>
  <c r="U285" i="1"/>
  <c r="T285" i="1"/>
  <c r="S285" i="1"/>
  <c r="R285" i="1"/>
  <c r="Q285" i="1"/>
  <c r="O285" i="1"/>
  <c r="K285" i="1"/>
  <c r="I285" i="1"/>
  <c r="H285" i="1"/>
  <c r="G285" i="1"/>
  <c r="F285" i="1"/>
  <c r="E285" i="1"/>
  <c r="D285" i="1"/>
  <c r="AE284" i="1"/>
  <c r="AA284" i="1"/>
  <c r="Z284" i="1"/>
  <c r="Y284" i="1"/>
  <c r="X284" i="1"/>
  <c r="W284" i="1"/>
  <c r="V284" i="1"/>
  <c r="U284" i="1"/>
  <c r="T284" i="1"/>
  <c r="S284" i="1"/>
  <c r="R284" i="1"/>
  <c r="Q284" i="1"/>
  <c r="O284" i="1"/>
  <c r="K284" i="1"/>
  <c r="I284" i="1"/>
  <c r="H284" i="1"/>
  <c r="G284" i="1"/>
  <c r="F284" i="1"/>
  <c r="E284" i="1"/>
  <c r="D284" i="1"/>
  <c r="AE283" i="1"/>
  <c r="AA283" i="1"/>
  <c r="Z283" i="1"/>
  <c r="Y283" i="1"/>
  <c r="X283" i="1"/>
  <c r="W283" i="1"/>
  <c r="V283" i="1"/>
  <c r="U283" i="1"/>
  <c r="T283" i="1"/>
  <c r="S283" i="1"/>
  <c r="R283" i="1"/>
  <c r="Q283" i="1"/>
  <c r="O283" i="1"/>
  <c r="K283" i="1"/>
  <c r="I283" i="1"/>
  <c r="H283" i="1"/>
  <c r="G283" i="1"/>
  <c r="F283" i="1"/>
  <c r="E283" i="1"/>
  <c r="D283" i="1"/>
  <c r="AE282" i="1"/>
  <c r="AA282" i="1"/>
  <c r="Z282" i="1"/>
  <c r="Y282" i="1"/>
  <c r="X282" i="1"/>
  <c r="W282" i="1"/>
  <c r="V282" i="1"/>
  <c r="U282" i="1"/>
  <c r="T282" i="1"/>
  <c r="S282" i="1"/>
  <c r="R282" i="1"/>
  <c r="Q282" i="1"/>
  <c r="O282" i="1"/>
  <c r="K282" i="1"/>
  <c r="I282" i="1"/>
  <c r="H282" i="1"/>
  <c r="G282" i="1"/>
  <c r="F282" i="1"/>
  <c r="E282" i="1"/>
  <c r="D282" i="1"/>
  <c r="AE281" i="1"/>
  <c r="AA281" i="1"/>
  <c r="Z281" i="1"/>
  <c r="Y281" i="1"/>
  <c r="X281" i="1"/>
  <c r="W281" i="1"/>
  <c r="V281" i="1"/>
  <c r="U281" i="1"/>
  <c r="T281" i="1"/>
  <c r="S281" i="1"/>
  <c r="R281" i="1"/>
  <c r="Q281" i="1"/>
  <c r="O281" i="1"/>
  <c r="K281" i="1"/>
  <c r="I281" i="1"/>
  <c r="H281" i="1"/>
  <c r="G281" i="1"/>
  <c r="F281" i="1"/>
  <c r="E281" i="1"/>
  <c r="D281" i="1"/>
  <c r="AE280" i="1"/>
  <c r="AA280" i="1"/>
  <c r="Z280" i="1"/>
  <c r="Y280" i="1"/>
  <c r="X280" i="1"/>
  <c r="W280" i="1"/>
  <c r="V280" i="1"/>
  <c r="U280" i="1"/>
  <c r="T280" i="1"/>
  <c r="S280" i="1"/>
  <c r="R280" i="1"/>
  <c r="Q280" i="1"/>
  <c r="O280" i="1"/>
  <c r="K280" i="1"/>
  <c r="I280" i="1"/>
  <c r="H280" i="1"/>
  <c r="G280" i="1"/>
  <c r="F280" i="1"/>
  <c r="E280" i="1"/>
  <c r="D280" i="1"/>
  <c r="AE279" i="1"/>
  <c r="AA279" i="1"/>
  <c r="Z279" i="1"/>
  <c r="Y279" i="1"/>
  <c r="X279" i="1"/>
  <c r="W279" i="1"/>
  <c r="V279" i="1"/>
  <c r="U279" i="1"/>
  <c r="T279" i="1"/>
  <c r="S279" i="1"/>
  <c r="R279" i="1"/>
  <c r="Q279" i="1"/>
  <c r="O279" i="1"/>
  <c r="K279" i="1"/>
  <c r="I279" i="1"/>
  <c r="H279" i="1"/>
  <c r="G279" i="1"/>
  <c r="F279" i="1"/>
  <c r="E279" i="1"/>
  <c r="D279" i="1"/>
  <c r="AE278" i="1"/>
  <c r="AA278" i="1"/>
  <c r="Z278" i="1"/>
  <c r="Y278" i="1"/>
  <c r="X278" i="1"/>
  <c r="W278" i="1"/>
  <c r="V278" i="1"/>
  <c r="U278" i="1"/>
  <c r="T278" i="1"/>
  <c r="S278" i="1"/>
  <c r="R278" i="1"/>
  <c r="Q278" i="1"/>
  <c r="O278" i="1"/>
  <c r="K278" i="1"/>
  <c r="I278" i="1"/>
  <c r="H278" i="1"/>
  <c r="G278" i="1"/>
  <c r="F278" i="1"/>
  <c r="E278" i="1"/>
  <c r="D278" i="1"/>
  <c r="AE277" i="1"/>
  <c r="AA277" i="1"/>
  <c r="Z277" i="1"/>
  <c r="Y277" i="1"/>
  <c r="X277" i="1"/>
  <c r="W277" i="1"/>
  <c r="V277" i="1"/>
  <c r="U277" i="1"/>
  <c r="T277" i="1"/>
  <c r="S277" i="1"/>
  <c r="R277" i="1"/>
  <c r="Q277" i="1"/>
  <c r="O277" i="1"/>
  <c r="K277" i="1"/>
  <c r="I277" i="1"/>
  <c r="H277" i="1"/>
  <c r="G277" i="1"/>
  <c r="F277" i="1"/>
  <c r="E277" i="1"/>
  <c r="D277" i="1"/>
  <c r="AE276" i="1"/>
  <c r="AA276" i="1"/>
  <c r="Z276" i="1"/>
  <c r="Y276" i="1"/>
  <c r="X276" i="1"/>
  <c r="W276" i="1"/>
  <c r="V276" i="1"/>
  <c r="U276" i="1"/>
  <c r="T276" i="1"/>
  <c r="S276" i="1"/>
  <c r="R276" i="1"/>
  <c r="Q276" i="1"/>
  <c r="O276" i="1"/>
  <c r="K276" i="1"/>
  <c r="I276" i="1"/>
  <c r="H276" i="1"/>
  <c r="G276" i="1"/>
  <c r="F276" i="1"/>
  <c r="E276" i="1"/>
  <c r="D276" i="1"/>
  <c r="AE275" i="1"/>
  <c r="AA275" i="1"/>
  <c r="Z275" i="1"/>
  <c r="Y275" i="1"/>
  <c r="X275" i="1"/>
  <c r="W275" i="1"/>
  <c r="V275" i="1"/>
  <c r="U275" i="1"/>
  <c r="T275" i="1"/>
  <c r="S275" i="1"/>
  <c r="R275" i="1"/>
  <c r="Q275" i="1"/>
  <c r="O275" i="1"/>
  <c r="K275" i="1"/>
  <c r="I275" i="1"/>
  <c r="H275" i="1"/>
  <c r="G275" i="1"/>
  <c r="F275" i="1"/>
  <c r="E275" i="1"/>
  <c r="D275" i="1"/>
  <c r="AE274" i="1"/>
  <c r="AA274" i="1"/>
  <c r="Z274" i="1"/>
  <c r="Y274" i="1"/>
  <c r="X274" i="1"/>
  <c r="W274" i="1"/>
  <c r="V274" i="1"/>
  <c r="U274" i="1"/>
  <c r="T274" i="1"/>
  <c r="S274" i="1"/>
  <c r="R274" i="1"/>
  <c r="Q274" i="1"/>
  <c r="O274" i="1"/>
  <c r="K274" i="1"/>
  <c r="I274" i="1"/>
  <c r="H274" i="1"/>
  <c r="G274" i="1"/>
  <c r="F274" i="1"/>
  <c r="E274" i="1"/>
  <c r="D274" i="1"/>
  <c r="AE273" i="1"/>
  <c r="AA273" i="1"/>
  <c r="Z273" i="1"/>
  <c r="Y273" i="1"/>
  <c r="X273" i="1"/>
  <c r="W273" i="1"/>
  <c r="V273" i="1"/>
  <c r="U273" i="1"/>
  <c r="T273" i="1"/>
  <c r="S273" i="1"/>
  <c r="R273" i="1"/>
  <c r="Q273" i="1"/>
  <c r="O273" i="1"/>
  <c r="K273" i="1"/>
  <c r="I273" i="1"/>
  <c r="H273" i="1"/>
  <c r="G273" i="1"/>
  <c r="F273" i="1"/>
  <c r="E273" i="1"/>
  <c r="D273" i="1"/>
  <c r="AE272" i="1"/>
  <c r="AA272" i="1"/>
  <c r="Z272" i="1"/>
  <c r="Y272" i="1"/>
  <c r="X272" i="1"/>
  <c r="W272" i="1"/>
  <c r="V272" i="1"/>
  <c r="U272" i="1"/>
  <c r="T272" i="1"/>
  <c r="S272" i="1"/>
  <c r="R272" i="1"/>
  <c r="Q272" i="1"/>
  <c r="O272" i="1"/>
  <c r="K272" i="1"/>
  <c r="I272" i="1"/>
  <c r="H272" i="1"/>
  <c r="G272" i="1"/>
  <c r="F272" i="1"/>
  <c r="E272" i="1"/>
  <c r="D272" i="1"/>
  <c r="AE271" i="1"/>
  <c r="AA271" i="1"/>
  <c r="Z271" i="1"/>
  <c r="Y271" i="1"/>
  <c r="X271" i="1"/>
  <c r="W271" i="1"/>
  <c r="V271" i="1"/>
  <c r="U271" i="1"/>
  <c r="T271" i="1"/>
  <c r="S271" i="1"/>
  <c r="R271" i="1"/>
  <c r="Q271" i="1"/>
  <c r="O271" i="1"/>
  <c r="K271" i="1"/>
  <c r="I271" i="1"/>
  <c r="H271" i="1"/>
  <c r="G271" i="1"/>
  <c r="F271" i="1"/>
  <c r="E271" i="1"/>
  <c r="D271" i="1"/>
  <c r="AE270" i="1"/>
  <c r="AA270" i="1"/>
  <c r="Z270" i="1"/>
  <c r="Y270" i="1"/>
  <c r="X270" i="1"/>
  <c r="W270" i="1"/>
  <c r="V270" i="1"/>
  <c r="U270" i="1"/>
  <c r="T270" i="1"/>
  <c r="S270" i="1"/>
  <c r="R270" i="1"/>
  <c r="Q270" i="1"/>
  <c r="O270" i="1"/>
  <c r="K270" i="1"/>
  <c r="I270" i="1"/>
  <c r="H270" i="1"/>
  <c r="G270" i="1"/>
  <c r="F270" i="1"/>
  <c r="E270" i="1"/>
  <c r="D270" i="1"/>
  <c r="AE269" i="1"/>
  <c r="AA269" i="1"/>
  <c r="Z269" i="1"/>
  <c r="Y269" i="1"/>
  <c r="X269" i="1"/>
  <c r="W269" i="1"/>
  <c r="V269" i="1"/>
  <c r="U269" i="1"/>
  <c r="T269" i="1"/>
  <c r="S269" i="1"/>
  <c r="R269" i="1"/>
  <c r="Q269" i="1"/>
  <c r="O269" i="1"/>
  <c r="K269" i="1"/>
  <c r="I269" i="1"/>
  <c r="H269" i="1"/>
  <c r="G269" i="1"/>
  <c r="F269" i="1"/>
  <c r="E269" i="1"/>
  <c r="D269" i="1"/>
  <c r="AE268" i="1"/>
  <c r="AA268" i="1"/>
  <c r="Z268" i="1"/>
  <c r="Y268" i="1"/>
  <c r="X268" i="1"/>
  <c r="W268" i="1"/>
  <c r="V268" i="1"/>
  <c r="U268" i="1"/>
  <c r="T268" i="1"/>
  <c r="S268" i="1"/>
  <c r="R268" i="1"/>
  <c r="Q268" i="1"/>
  <c r="O268" i="1"/>
  <c r="K268" i="1"/>
  <c r="I268" i="1"/>
  <c r="H268" i="1"/>
  <c r="G268" i="1"/>
  <c r="F268" i="1"/>
  <c r="E268" i="1"/>
  <c r="D268" i="1"/>
  <c r="AE267" i="1"/>
  <c r="AA267" i="1"/>
  <c r="Z267" i="1"/>
  <c r="Y267" i="1"/>
  <c r="X267" i="1"/>
  <c r="W267" i="1"/>
  <c r="V267" i="1"/>
  <c r="U267" i="1"/>
  <c r="T267" i="1"/>
  <c r="S267" i="1"/>
  <c r="R267" i="1"/>
  <c r="Q267" i="1"/>
  <c r="O267" i="1"/>
  <c r="K267" i="1"/>
  <c r="I267" i="1"/>
  <c r="H267" i="1"/>
  <c r="G267" i="1"/>
  <c r="F267" i="1"/>
  <c r="E267" i="1"/>
  <c r="D267" i="1"/>
  <c r="AE266" i="1"/>
  <c r="AA266" i="1"/>
  <c r="Z266" i="1"/>
  <c r="Y266" i="1"/>
  <c r="X266" i="1"/>
  <c r="W266" i="1"/>
  <c r="V266" i="1"/>
  <c r="U266" i="1"/>
  <c r="T266" i="1"/>
  <c r="S266" i="1"/>
  <c r="R266" i="1"/>
  <c r="Q266" i="1"/>
  <c r="O266" i="1"/>
  <c r="K266" i="1"/>
  <c r="I266" i="1"/>
  <c r="H266" i="1"/>
  <c r="G266" i="1"/>
  <c r="F266" i="1"/>
  <c r="E266" i="1"/>
  <c r="D266" i="1"/>
  <c r="AE265" i="1"/>
  <c r="AA265" i="1"/>
  <c r="Z265" i="1"/>
  <c r="Y265" i="1"/>
  <c r="X265" i="1"/>
  <c r="W265" i="1"/>
  <c r="V265" i="1"/>
  <c r="U265" i="1"/>
  <c r="T265" i="1"/>
  <c r="S265" i="1"/>
  <c r="R265" i="1"/>
  <c r="Q265" i="1"/>
  <c r="O265" i="1"/>
  <c r="K265" i="1"/>
  <c r="I265" i="1"/>
  <c r="H265" i="1"/>
  <c r="G265" i="1"/>
  <c r="F265" i="1"/>
  <c r="E265" i="1"/>
  <c r="D265" i="1"/>
  <c r="AE264" i="1"/>
  <c r="AA264" i="1"/>
  <c r="Z264" i="1"/>
  <c r="Y264" i="1"/>
  <c r="X264" i="1"/>
  <c r="W264" i="1"/>
  <c r="V264" i="1"/>
  <c r="U264" i="1"/>
  <c r="T264" i="1"/>
  <c r="S264" i="1"/>
  <c r="R264" i="1"/>
  <c r="Q264" i="1"/>
  <c r="O264" i="1"/>
  <c r="K264" i="1"/>
  <c r="I264" i="1"/>
  <c r="H264" i="1"/>
  <c r="G264" i="1"/>
  <c r="F264" i="1"/>
  <c r="E264" i="1"/>
  <c r="D264" i="1"/>
  <c r="AE263" i="1"/>
  <c r="AA263" i="1"/>
  <c r="Z263" i="1"/>
  <c r="Y263" i="1"/>
  <c r="X263" i="1"/>
  <c r="W263" i="1"/>
  <c r="V263" i="1"/>
  <c r="U263" i="1"/>
  <c r="T263" i="1"/>
  <c r="S263" i="1"/>
  <c r="R263" i="1"/>
  <c r="Q263" i="1"/>
  <c r="O263" i="1"/>
  <c r="K263" i="1"/>
  <c r="I263" i="1"/>
  <c r="H263" i="1"/>
  <c r="G263" i="1"/>
  <c r="F263" i="1"/>
  <c r="E263" i="1"/>
  <c r="D263" i="1"/>
  <c r="AE262" i="1"/>
  <c r="AA262" i="1"/>
  <c r="Z262" i="1"/>
  <c r="Y262" i="1"/>
  <c r="X262" i="1"/>
  <c r="W262" i="1"/>
  <c r="V262" i="1"/>
  <c r="U262" i="1"/>
  <c r="T262" i="1"/>
  <c r="S262" i="1"/>
  <c r="R262" i="1"/>
  <c r="Q262" i="1"/>
  <c r="O262" i="1"/>
  <c r="K262" i="1"/>
  <c r="I262" i="1"/>
  <c r="H262" i="1"/>
  <c r="G262" i="1"/>
  <c r="F262" i="1"/>
  <c r="E262" i="1"/>
  <c r="D262" i="1"/>
  <c r="AE261" i="1"/>
  <c r="AA261" i="1"/>
  <c r="Z261" i="1"/>
  <c r="Y261" i="1"/>
  <c r="X261" i="1"/>
  <c r="W261" i="1"/>
  <c r="V261" i="1"/>
  <c r="U261" i="1"/>
  <c r="T261" i="1"/>
  <c r="S261" i="1"/>
  <c r="R261" i="1"/>
  <c r="Q261" i="1"/>
  <c r="O261" i="1"/>
  <c r="K261" i="1"/>
  <c r="I261" i="1"/>
  <c r="H261" i="1"/>
  <c r="G261" i="1"/>
  <c r="F261" i="1"/>
  <c r="E261" i="1"/>
  <c r="D261" i="1"/>
  <c r="AE260" i="1"/>
  <c r="AA260" i="1"/>
  <c r="Z260" i="1"/>
  <c r="Y260" i="1"/>
  <c r="X260" i="1"/>
  <c r="W260" i="1"/>
  <c r="V260" i="1"/>
  <c r="U260" i="1"/>
  <c r="T260" i="1"/>
  <c r="S260" i="1"/>
  <c r="R260" i="1"/>
  <c r="Q260" i="1"/>
  <c r="O260" i="1"/>
  <c r="K260" i="1"/>
  <c r="I260" i="1"/>
  <c r="H260" i="1"/>
  <c r="G260" i="1"/>
  <c r="F260" i="1"/>
  <c r="E260" i="1"/>
  <c r="D260" i="1"/>
  <c r="AE259" i="1"/>
  <c r="AA259" i="1"/>
  <c r="Z259" i="1"/>
  <c r="Y259" i="1"/>
  <c r="X259" i="1"/>
  <c r="W259" i="1"/>
  <c r="V259" i="1"/>
  <c r="U259" i="1"/>
  <c r="T259" i="1"/>
  <c r="S259" i="1"/>
  <c r="R259" i="1"/>
  <c r="Q259" i="1"/>
  <c r="O259" i="1"/>
  <c r="K259" i="1"/>
  <c r="I259" i="1"/>
  <c r="H259" i="1"/>
  <c r="G259" i="1"/>
  <c r="F259" i="1"/>
  <c r="E259" i="1"/>
  <c r="D259" i="1"/>
  <c r="AE258" i="1"/>
  <c r="AA258" i="1"/>
  <c r="Z258" i="1"/>
  <c r="Y258" i="1"/>
  <c r="X258" i="1"/>
  <c r="W258" i="1"/>
  <c r="V258" i="1"/>
  <c r="U258" i="1"/>
  <c r="T258" i="1"/>
  <c r="S258" i="1"/>
  <c r="R258" i="1"/>
  <c r="Q258" i="1"/>
  <c r="O258" i="1"/>
  <c r="K258" i="1"/>
  <c r="I258" i="1"/>
  <c r="H258" i="1"/>
  <c r="G258" i="1"/>
  <c r="F258" i="1"/>
  <c r="E258" i="1"/>
  <c r="D258" i="1"/>
  <c r="AE257" i="1"/>
  <c r="AA257" i="1"/>
  <c r="Z257" i="1"/>
  <c r="Y257" i="1"/>
  <c r="X257" i="1"/>
  <c r="W257" i="1"/>
  <c r="V257" i="1"/>
  <c r="U257" i="1"/>
  <c r="T257" i="1"/>
  <c r="S257" i="1"/>
  <c r="R257" i="1"/>
  <c r="Q257" i="1"/>
  <c r="O257" i="1"/>
  <c r="K257" i="1"/>
  <c r="I257" i="1"/>
  <c r="H257" i="1"/>
  <c r="G257" i="1"/>
  <c r="F257" i="1"/>
  <c r="E257" i="1"/>
  <c r="D257" i="1"/>
  <c r="AE256" i="1"/>
  <c r="AA256" i="1"/>
  <c r="Z256" i="1"/>
  <c r="Y256" i="1"/>
  <c r="X256" i="1"/>
  <c r="W256" i="1"/>
  <c r="V256" i="1"/>
  <c r="U256" i="1"/>
  <c r="T256" i="1"/>
  <c r="S256" i="1"/>
  <c r="R256" i="1"/>
  <c r="Q256" i="1"/>
  <c r="O256" i="1"/>
  <c r="K256" i="1"/>
  <c r="I256" i="1"/>
  <c r="H256" i="1"/>
  <c r="G256" i="1"/>
  <c r="F256" i="1"/>
  <c r="E256" i="1"/>
  <c r="D256" i="1"/>
  <c r="AE255" i="1"/>
  <c r="AA255" i="1"/>
  <c r="Z255" i="1"/>
  <c r="Y255" i="1"/>
  <c r="X255" i="1"/>
  <c r="W255" i="1"/>
  <c r="V255" i="1"/>
  <c r="U255" i="1"/>
  <c r="T255" i="1"/>
  <c r="S255" i="1"/>
  <c r="R255" i="1"/>
  <c r="Q255" i="1"/>
  <c r="O255" i="1"/>
  <c r="K255" i="1"/>
  <c r="I255" i="1"/>
  <c r="H255" i="1"/>
  <c r="G255" i="1"/>
  <c r="F255" i="1"/>
  <c r="E255" i="1"/>
  <c r="D255" i="1"/>
  <c r="AE254" i="1"/>
  <c r="AA254" i="1"/>
  <c r="Z254" i="1"/>
  <c r="Y254" i="1"/>
  <c r="X254" i="1"/>
  <c r="W254" i="1"/>
  <c r="V254" i="1"/>
  <c r="U254" i="1"/>
  <c r="T254" i="1"/>
  <c r="S254" i="1"/>
  <c r="R254" i="1"/>
  <c r="Q254" i="1"/>
  <c r="O254" i="1"/>
  <c r="K254" i="1"/>
  <c r="I254" i="1"/>
  <c r="H254" i="1"/>
  <c r="G254" i="1"/>
  <c r="F254" i="1"/>
  <c r="E254" i="1"/>
  <c r="D254" i="1"/>
  <c r="AE253" i="1"/>
  <c r="AA253" i="1"/>
  <c r="Z253" i="1"/>
  <c r="Y253" i="1"/>
  <c r="X253" i="1"/>
  <c r="W253" i="1"/>
  <c r="V253" i="1"/>
  <c r="U253" i="1"/>
  <c r="T253" i="1"/>
  <c r="S253" i="1"/>
  <c r="R253" i="1"/>
  <c r="Q253" i="1"/>
  <c r="O253" i="1"/>
  <c r="K253" i="1"/>
  <c r="I253" i="1"/>
  <c r="H253" i="1"/>
  <c r="G253" i="1"/>
  <c r="F253" i="1"/>
  <c r="E253" i="1"/>
  <c r="D253" i="1"/>
  <c r="AE252" i="1"/>
  <c r="AA252" i="1"/>
  <c r="Z252" i="1"/>
  <c r="Y252" i="1"/>
  <c r="X252" i="1"/>
  <c r="W252" i="1"/>
  <c r="V252" i="1"/>
  <c r="U252" i="1"/>
  <c r="T252" i="1"/>
  <c r="S252" i="1"/>
  <c r="R252" i="1"/>
  <c r="Q252" i="1"/>
  <c r="O252" i="1"/>
  <c r="K252" i="1"/>
  <c r="I252" i="1"/>
  <c r="H252" i="1"/>
  <c r="G252" i="1"/>
  <c r="F252" i="1"/>
  <c r="E252" i="1"/>
  <c r="D252" i="1"/>
  <c r="AE251" i="1"/>
  <c r="AA251" i="1"/>
  <c r="Z251" i="1"/>
  <c r="Y251" i="1"/>
  <c r="X251" i="1"/>
  <c r="W251" i="1"/>
  <c r="V251" i="1"/>
  <c r="U251" i="1"/>
  <c r="T251" i="1"/>
  <c r="S251" i="1"/>
  <c r="R251" i="1"/>
  <c r="Q251" i="1"/>
  <c r="O251" i="1"/>
  <c r="K251" i="1"/>
  <c r="I251" i="1"/>
  <c r="H251" i="1"/>
  <c r="G251" i="1"/>
  <c r="F251" i="1"/>
  <c r="E251" i="1"/>
  <c r="D251" i="1"/>
  <c r="AE250" i="1"/>
  <c r="AA250" i="1"/>
  <c r="Z250" i="1"/>
  <c r="Y250" i="1"/>
  <c r="X250" i="1"/>
  <c r="W250" i="1"/>
  <c r="V250" i="1"/>
  <c r="U250" i="1"/>
  <c r="T250" i="1"/>
  <c r="S250" i="1"/>
  <c r="R250" i="1"/>
  <c r="Q250" i="1"/>
  <c r="O250" i="1"/>
  <c r="K250" i="1"/>
  <c r="I250" i="1"/>
  <c r="H250" i="1"/>
  <c r="G250" i="1"/>
  <c r="F250" i="1"/>
  <c r="E250" i="1"/>
  <c r="D250" i="1"/>
  <c r="AE249" i="1"/>
  <c r="AA249" i="1"/>
  <c r="Z249" i="1"/>
  <c r="Y249" i="1"/>
  <c r="X249" i="1"/>
  <c r="W249" i="1"/>
  <c r="V249" i="1"/>
  <c r="U249" i="1"/>
  <c r="T249" i="1"/>
  <c r="S249" i="1"/>
  <c r="R249" i="1"/>
  <c r="Q249" i="1"/>
  <c r="O249" i="1"/>
  <c r="K249" i="1"/>
  <c r="I249" i="1"/>
  <c r="H249" i="1"/>
  <c r="G249" i="1"/>
  <c r="F249" i="1"/>
  <c r="E249" i="1"/>
  <c r="D249" i="1"/>
  <c r="AE248" i="1"/>
  <c r="AA248" i="1"/>
  <c r="Z248" i="1"/>
  <c r="Y248" i="1"/>
  <c r="X248" i="1"/>
  <c r="W248" i="1"/>
  <c r="V248" i="1"/>
  <c r="U248" i="1"/>
  <c r="T248" i="1"/>
  <c r="S248" i="1"/>
  <c r="R248" i="1"/>
  <c r="Q248" i="1"/>
  <c r="O248" i="1"/>
  <c r="K248" i="1"/>
  <c r="I248" i="1"/>
  <c r="H248" i="1"/>
  <c r="G248" i="1"/>
  <c r="F248" i="1"/>
  <c r="E248" i="1"/>
  <c r="D248" i="1"/>
  <c r="AE247" i="1"/>
  <c r="AA247" i="1"/>
  <c r="Z247" i="1"/>
  <c r="Y247" i="1"/>
  <c r="X247" i="1"/>
  <c r="W247" i="1"/>
  <c r="V247" i="1"/>
  <c r="U247" i="1"/>
  <c r="T247" i="1"/>
  <c r="S247" i="1"/>
  <c r="R247" i="1"/>
  <c r="Q247" i="1"/>
  <c r="O247" i="1"/>
  <c r="K247" i="1"/>
  <c r="I247" i="1"/>
  <c r="H247" i="1"/>
  <c r="G247" i="1"/>
  <c r="F247" i="1"/>
  <c r="E247" i="1"/>
  <c r="D247" i="1"/>
  <c r="AE246" i="1"/>
  <c r="AA246" i="1"/>
  <c r="Z246" i="1"/>
  <c r="Y246" i="1"/>
  <c r="X246" i="1"/>
  <c r="W246" i="1"/>
  <c r="V246" i="1"/>
  <c r="U246" i="1"/>
  <c r="T246" i="1"/>
  <c r="S246" i="1"/>
  <c r="R246" i="1"/>
  <c r="Q246" i="1"/>
  <c r="O246" i="1"/>
  <c r="K246" i="1"/>
  <c r="I246" i="1"/>
  <c r="H246" i="1"/>
  <c r="G246" i="1"/>
  <c r="F246" i="1"/>
  <c r="E246" i="1"/>
  <c r="D246" i="1"/>
  <c r="AE245" i="1"/>
  <c r="AA245" i="1"/>
  <c r="Z245" i="1"/>
  <c r="Y245" i="1"/>
  <c r="X245" i="1"/>
  <c r="W245" i="1"/>
  <c r="V245" i="1"/>
  <c r="U245" i="1"/>
  <c r="T245" i="1"/>
  <c r="S245" i="1"/>
  <c r="R245" i="1"/>
  <c r="Q245" i="1"/>
  <c r="O245" i="1"/>
  <c r="K245" i="1"/>
  <c r="I245" i="1"/>
  <c r="H245" i="1"/>
  <c r="G245" i="1"/>
  <c r="F245" i="1"/>
  <c r="E245" i="1"/>
  <c r="D245" i="1"/>
  <c r="AE244" i="1"/>
  <c r="AA244" i="1"/>
  <c r="Z244" i="1"/>
  <c r="Y244" i="1"/>
  <c r="X244" i="1"/>
  <c r="W244" i="1"/>
  <c r="V244" i="1"/>
  <c r="U244" i="1"/>
  <c r="T244" i="1"/>
  <c r="S244" i="1"/>
  <c r="R244" i="1"/>
  <c r="Q244" i="1"/>
  <c r="O244" i="1"/>
  <c r="K244" i="1"/>
  <c r="I244" i="1"/>
  <c r="H244" i="1"/>
  <c r="G244" i="1"/>
  <c r="F244" i="1"/>
  <c r="E244" i="1"/>
  <c r="D244" i="1"/>
  <c r="AE243" i="1"/>
  <c r="AA243" i="1"/>
  <c r="Z243" i="1"/>
  <c r="Y243" i="1"/>
  <c r="X243" i="1"/>
  <c r="W243" i="1"/>
  <c r="V243" i="1"/>
  <c r="U243" i="1"/>
  <c r="T243" i="1"/>
  <c r="S243" i="1"/>
  <c r="R243" i="1"/>
  <c r="Q243" i="1"/>
  <c r="O243" i="1"/>
  <c r="K243" i="1"/>
  <c r="I243" i="1"/>
  <c r="H243" i="1"/>
  <c r="G243" i="1"/>
  <c r="F243" i="1"/>
  <c r="E243" i="1"/>
  <c r="D243" i="1"/>
  <c r="AE242" i="1"/>
  <c r="AA242" i="1"/>
  <c r="Z242" i="1"/>
  <c r="Y242" i="1"/>
  <c r="X242" i="1"/>
  <c r="W242" i="1"/>
  <c r="V242" i="1"/>
  <c r="U242" i="1"/>
  <c r="T242" i="1"/>
  <c r="S242" i="1"/>
  <c r="R242" i="1"/>
  <c r="Q242" i="1"/>
  <c r="O242" i="1"/>
  <c r="K242" i="1"/>
  <c r="I242" i="1"/>
  <c r="H242" i="1"/>
  <c r="G242" i="1"/>
  <c r="F242" i="1"/>
  <c r="E242" i="1"/>
  <c r="D242" i="1"/>
  <c r="AE241" i="1"/>
  <c r="AA241" i="1"/>
  <c r="Z241" i="1"/>
  <c r="Y241" i="1"/>
  <c r="X241" i="1"/>
  <c r="W241" i="1"/>
  <c r="V241" i="1"/>
  <c r="U241" i="1"/>
  <c r="T241" i="1"/>
  <c r="S241" i="1"/>
  <c r="R241" i="1"/>
  <c r="Q241" i="1"/>
  <c r="O241" i="1"/>
  <c r="K241" i="1"/>
  <c r="I241" i="1"/>
  <c r="H241" i="1"/>
  <c r="G241" i="1"/>
  <c r="F241" i="1"/>
  <c r="E241" i="1"/>
  <c r="D241" i="1"/>
  <c r="AE240" i="1"/>
  <c r="AA240" i="1"/>
  <c r="Z240" i="1"/>
  <c r="Y240" i="1"/>
  <c r="X240" i="1"/>
  <c r="W240" i="1"/>
  <c r="V240" i="1"/>
  <c r="U240" i="1"/>
  <c r="T240" i="1"/>
  <c r="S240" i="1"/>
  <c r="R240" i="1"/>
  <c r="Q240" i="1"/>
  <c r="O240" i="1"/>
  <c r="K240" i="1"/>
  <c r="I240" i="1"/>
  <c r="H240" i="1"/>
  <c r="G240" i="1"/>
  <c r="F240" i="1"/>
  <c r="E240" i="1"/>
  <c r="D240" i="1"/>
  <c r="AE239" i="1"/>
  <c r="AA239" i="1"/>
  <c r="Z239" i="1"/>
  <c r="Y239" i="1"/>
  <c r="X239" i="1"/>
  <c r="W239" i="1"/>
  <c r="V239" i="1"/>
  <c r="U239" i="1"/>
  <c r="T239" i="1"/>
  <c r="S239" i="1"/>
  <c r="R239" i="1"/>
  <c r="Q239" i="1"/>
  <c r="O239" i="1"/>
  <c r="K239" i="1"/>
  <c r="I239" i="1"/>
  <c r="H239" i="1"/>
  <c r="G239" i="1"/>
  <c r="F239" i="1"/>
  <c r="E239" i="1"/>
  <c r="D239" i="1"/>
  <c r="AE238" i="1"/>
  <c r="AA238" i="1"/>
  <c r="Z238" i="1"/>
  <c r="Y238" i="1"/>
  <c r="X238" i="1"/>
  <c r="W238" i="1"/>
  <c r="V238" i="1"/>
  <c r="U238" i="1"/>
  <c r="T238" i="1"/>
  <c r="S238" i="1"/>
  <c r="R238" i="1"/>
  <c r="Q238" i="1"/>
  <c r="O238" i="1"/>
  <c r="K238" i="1"/>
  <c r="I238" i="1"/>
  <c r="H238" i="1"/>
  <c r="G238" i="1"/>
  <c r="F238" i="1"/>
  <c r="E238" i="1"/>
  <c r="D238" i="1"/>
  <c r="AE237" i="1"/>
  <c r="AA237" i="1"/>
  <c r="Z237" i="1"/>
  <c r="Y237" i="1"/>
  <c r="X237" i="1"/>
  <c r="W237" i="1"/>
  <c r="V237" i="1"/>
  <c r="U237" i="1"/>
  <c r="T237" i="1"/>
  <c r="S237" i="1"/>
  <c r="R237" i="1"/>
  <c r="Q237" i="1"/>
  <c r="O237" i="1"/>
  <c r="K237" i="1"/>
  <c r="I237" i="1"/>
  <c r="H237" i="1"/>
  <c r="G237" i="1"/>
  <c r="F237" i="1"/>
  <c r="E237" i="1"/>
  <c r="D237" i="1"/>
  <c r="AE236" i="1"/>
  <c r="AA236" i="1"/>
  <c r="Z236" i="1"/>
  <c r="Y236" i="1"/>
  <c r="X236" i="1"/>
  <c r="W236" i="1"/>
  <c r="V236" i="1"/>
  <c r="U236" i="1"/>
  <c r="T236" i="1"/>
  <c r="S236" i="1"/>
  <c r="R236" i="1"/>
  <c r="Q236" i="1"/>
  <c r="O236" i="1"/>
  <c r="K236" i="1"/>
  <c r="I236" i="1"/>
  <c r="H236" i="1"/>
  <c r="G236" i="1"/>
  <c r="F236" i="1"/>
  <c r="E236" i="1"/>
  <c r="D236" i="1"/>
  <c r="AE235" i="1"/>
  <c r="AA235" i="1"/>
  <c r="Z235" i="1"/>
  <c r="Y235" i="1"/>
  <c r="X235" i="1"/>
  <c r="W235" i="1"/>
  <c r="V235" i="1"/>
  <c r="U235" i="1"/>
  <c r="T235" i="1"/>
  <c r="S235" i="1"/>
  <c r="R235" i="1"/>
  <c r="Q235" i="1"/>
  <c r="O235" i="1"/>
  <c r="K235" i="1"/>
  <c r="I235" i="1"/>
  <c r="H235" i="1"/>
  <c r="G235" i="1"/>
  <c r="F235" i="1"/>
  <c r="E235" i="1"/>
  <c r="D235" i="1"/>
  <c r="AE234" i="1"/>
  <c r="AA234" i="1"/>
  <c r="Z234" i="1"/>
  <c r="Y234" i="1"/>
  <c r="X234" i="1"/>
  <c r="W234" i="1"/>
  <c r="V234" i="1"/>
  <c r="U234" i="1"/>
  <c r="T234" i="1"/>
  <c r="S234" i="1"/>
  <c r="R234" i="1"/>
  <c r="Q234" i="1"/>
  <c r="O234" i="1"/>
  <c r="K234" i="1"/>
  <c r="I234" i="1"/>
  <c r="H234" i="1"/>
  <c r="G234" i="1"/>
  <c r="F234" i="1"/>
  <c r="E234" i="1"/>
  <c r="D234" i="1"/>
  <c r="AE233" i="1"/>
  <c r="AA233" i="1"/>
  <c r="Z233" i="1"/>
  <c r="Y233" i="1"/>
  <c r="X233" i="1"/>
  <c r="W233" i="1"/>
  <c r="V233" i="1"/>
  <c r="U233" i="1"/>
  <c r="T233" i="1"/>
  <c r="S233" i="1"/>
  <c r="R233" i="1"/>
  <c r="Q233" i="1"/>
  <c r="O233" i="1"/>
  <c r="K233" i="1"/>
  <c r="I233" i="1"/>
  <c r="H233" i="1"/>
  <c r="G233" i="1"/>
  <c r="F233" i="1"/>
  <c r="E233" i="1"/>
  <c r="D233" i="1"/>
  <c r="AE232" i="1"/>
  <c r="AA232" i="1"/>
  <c r="Z232" i="1"/>
  <c r="Y232" i="1"/>
  <c r="X232" i="1"/>
  <c r="W232" i="1"/>
  <c r="V232" i="1"/>
  <c r="U232" i="1"/>
  <c r="T232" i="1"/>
  <c r="S232" i="1"/>
  <c r="R232" i="1"/>
  <c r="Q232" i="1"/>
  <c r="O232" i="1"/>
  <c r="K232" i="1"/>
  <c r="I232" i="1"/>
  <c r="H232" i="1"/>
  <c r="G232" i="1"/>
  <c r="F232" i="1"/>
  <c r="E232" i="1"/>
  <c r="D232" i="1"/>
  <c r="AE231" i="1"/>
  <c r="AA231" i="1"/>
  <c r="Z231" i="1"/>
  <c r="Y231" i="1"/>
  <c r="X231" i="1"/>
  <c r="W231" i="1"/>
  <c r="V231" i="1"/>
  <c r="U231" i="1"/>
  <c r="T231" i="1"/>
  <c r="S231" i="1"/>
  <c r="R231" i="1"/>
  <c r="Q231" i="1"/>
  <c r="O231" i="1"/>
  <c r="K231" i="1"/>
  <c r="I231" i="1"/>
  <c r="H231" i="1"/>
  <c r="G231" i="1"/>
  <c r="F231" i="1"/>
  <c r="E231" i="1"/>
  <c r="D231" i="1"/>
  <c r="AE230" i="1"/>
  <c r="AA230" i="1"/>
  <c r="Z230" i="1"/>
  <c r="Y230" i="1"/>
  <c r="X230" i="1"/>
  <c r="W230" i="1"/>
  <c r="V230" i="1"/>
  <c r="U230" i="1"/>
  <c r="T230" i="1"/>
  <c r="S230" i="1"/>
  <c r="R230" i="1"/>
  <c r="Q230" i="1"/>
  <c r="O230" i="1"/>
  <c r="K230" i="1"/>
  <c r="I230" i="1"/>
  <c r="H230" i="1"/>
  <c r="G230" i="1"/>
  <c r="F230" i="1"/>
  <c r="E230" i="1"/>
  <c r="D230" i="1"/>
  <c r="AE229" i="1"/>
  <c r="AA229" i="1"/>
  <c r="Z229" i="1"/>
  <c r="Y229" i="1"/>
  <c r="X229" i="1"/>
  <c r="W229" i="1"/>
  <c r="V229" i="1"/>
  <c r="U229" i="1"/>
  <c r="T229" i="1"/>
  <c r="S229" i="1"/>
  <c r="R229" i="1"/>
  <c r="Q229" i="1"/>
  <c r="O229" i="1"/>
  <c r="K229" i="1"/>
  <c r="I229" i="1"/>
  <c r="H229" i="1"/>
  <c r="G229" i="1"/>
  <c r="F229" i="1"/>
  <c r="E229" i="1"/>
  <c r="D229" i="1"/>
  <c r="AE228" i="1"/>
  <c r="AA228" i="1"/>
  <c r="Z228" i="1"/>
  <c r="Y228" i="1"/>
  <c r="X228" i="1"/>
  <c r="W228" i="1"/>
  <c r="V228" i="1"/>
  <c r="U228" i="1"/>
  <c r="T228" i="1"/>
  <c r="S228" i="1"/>
  <c r="R228" i="1"/>
  <c r="Q228" i="1"/>
  <c r="O228" i="1"/>
  <c r="K228" i="1"/>
  <c r="I228" i="1"/>
  <c r="H228" i="1"/>
  <c r="G228" i="1"/>
  <c r="F228" i="1"/>
  <c r="E228" i="1"/>
  <c r="D228" i="1"/>
  <c r="AE227" i="1"/>
  <c r="AA227" i="1"/>
  <c r="Z227" i="1"/>
  <c r="Y227" i="1"/>
  <c r="X227" i="1"/>
  <c r="W227" i="1"/>
  <c r="V227" i="1"/>
  <c r="U227" i="1"/>
  <c r="T227" i="1"/>
  <c r="S227" i="1"/>
  <c r="R227" i="1"/>
  <c r="Q227" i="1"/>
  <c r="O227" i="1"/>
  <c r="K227" i="1"/>
  <c r="I227" i="1"/>
  <c r="H227" i="1"/>
  <c r="G227" i="1"/>
  <c r="F227" i="1"/>
  <c r="E227" i="1"/>
  <c r="D227" i="1"/>
  <c r="AE226" i="1"/>
  <c r="AA226" i="1"/>
  <c r="Z226" i="1"/>
  <c r="Y226" i="1"/>
  <c r="X226" i="1"/>
  <c r="W226" i="1"/>
  <c r="V226" i="1"/>
  <c r="U226" i="1"/>
  <c r="T226" i="1"/>
  <c r="S226" i="1"/>
  <c r="R226" i="1"/>
  <c r="Q226" i="1"/>
  <c r="O226" i="1"/>
  <c r="K226" i="1"/>
  <c r="I226" i="1"/>
  <c r="H226" i="1"/>
  <c r="G226" i="1"/>
  <c r="F226" i="1"/>
  <c r="E226" i="1"/>
  <c r="D226" i="1"/>
  <c r="AE225" i="1"/>
  <c r="AA225" i="1"/>
  <c r="Z225" i="1"/>
  <c r="Y225" i="1"/>
  <c r="X225" i="1"/>
  <c r="W225" i="1"/>
  <c r="V225" i="1"/>
  <c r="U225" i="1"/>
  <c r="T225" i="1"/>
  <c r="S225" i="1"/>
  <c r="R225" i="1"/>
  <c r="Q225" i="1"/>
  <c r="O225" i="1"/>
  <c r="K225" i="1"/>
  <c r="I225" i="1"/>
  <c r="H225" i="1"/>
  <c r="G225" i="1"/>
  <c r="F225" i="1"/>
  <c r="E225" i="1"/>
  <c r="D225" i="1"/>
  <c r="AE224" i="1"/>
  <c r="AA224" i="1"/>
  <c r="Z224" i="1"/>
  <c r="Y224" i="1"/>
  <c r="X224" i="1"/>
  <c r="W224" i="1"/>
  <c r="V224" i="1"/>
  <c r="U224" i="1"/>
  <c r="T224" i="1"/>
  <c r="S224" i="1"/>
  <c r="R224" i="1"/>
  <c r="Q224" i="1"/>
  <c r="O224" i="1"/>
  <c r="K224" i="1"/>
  <c r="I224" i="1"/>
  <c r="H224" i="1"/>
  <c r="G224" i="1"/>
  <c r="F224" i="1"/>
  <c r="E224" i="1"/>
  <c r="D224" i="1"/>
  <c r="AE223" i="1"/>
  <c r="AA223" i="1"/>
  <c r="Z223" i="1"/>
  <c r="Y223" i="1"/>
  <c r="X223" i="1"/>
  <c r="W223" i="1"/>
  <c r="V223" i="1"/>
  <c r="U223" i="1"/>
  <c r="T223" i="1"/>
  <c r="S223" i="1"/>
  <c r="R223" i="1"/>
  <c r="Q223" i="1"/>
  <c r="O223" i="1"/>
  <c r="K223" i="1"/>
  <c r="I223" i="1"/>
  <c r="H223" i="1"/>
  <c r="G223" i="1"/>
  <c r="F223" i="1"/>
  <c r="E223" i="1"/>
  <c r="D223" i="1"/>
  <c r="AE222" i="1"/>
  <c r="AA222" i="1"/>
  <c r="Z222" i="1"/>
  <c r="Y222" i="1"/>
  <c r="X222" i="1"/>
  <c r="W222" i="1"/>
  <c r="V222" i="1"/>
  <c r="U222" i="1"/>
  <c r="T222" i="1"/>
  <c r="S222" i="1"/>
  <c r="R222" i="1"/>
  <c r="Q222" i="1"/>
  <c r="O222" i="1"/>
  <c r="K222" i="1"/>
  <c r="I222" i="1"/>
  <c r="H222" i="1"/>
  <c r="G222" i="1"/>
  <c r="F222" i="1"/>
  <c r="E222" i="1"/>
  <c r="D222" i="1"/>
  <c r="AE221" i="1"/>
  <c r="AA221" i="1"/>
  <c r="Z221" i="1"/>
  <c r="Y221" i="1"/>
  <c r="X221" i="1"/>
  <c r="W221" i="1"/>
  <c r="V221" i="1"/>
  <c r="U221" i="1"/>
  <c r="T221" i="1"/>
  <c r="S221" i="1"/>
  <c r="R221" i="1"/>
  <c r="Q221" i="1"/>
  <c r="O221" i="1"/>
  <c r="K221" i="1"/>
  <c r="I221" i="1"/>
  <c r="H221" i="1"/>
  <c r="G221" i="1"/>
  <c r="F221" i="1"/>
  <c r="E221" i="1"/>
  <c r="D221" i="1"/>
  <c r="AE220" i="1"/>
  <c r="AA220" i="1"/>
  <c r="Z220" i="1"/>
  <c r="Y220" i="1"/>
  <c r="X220" i="1"/>
  <c r="W220" i="1"/>
  <c r="V220" i="1"/>
  <c r="U220" i="1"/>
  <c r="T220" i="1"/>
  <c r="S220" i="1"/>
  <c r="R220" i="1"/>
  <c r="Q220" i="1"/>
  <c r="O220" i="1"/>
  <c r="K220" i="1"/>
  <c r="I220" i="1"/>
  <c r="H220" i="1"/>
  <c r="G220" i="1"/>
  <c r="F220" i="1"/>
  <c r="E220" i="1"/>
  <c r="D220" i="1"/>
  <c r="AE219" i="1"/>
  <c r="AA219" i="1"/>
  <c r="Z219" i="1"/>
  <c r="Y219" i="1"/>
  <c r="X219" i="1"/>
  <c r="W219" i="1"/>
  <c r="V219" i="1"/>
  <c r="U219" i="1"/>
  <c r="T219" i="1"/>
  <c r="S219" i="1"/>
  <c r="R219" i="1"/>
  <c r="Q219" i="1"/>
  <c r="O219" i="1"/>
  <c r="K219" i="1"/>
  <c r="I219" i="1"/>
  <c r="H219" i="1"/>
  <c r="G219" i="1"/>
  <c r="F219" i="1"/>
  <c r="E219" i="1"/>
  <c r="D219" i="1"/>
  <c r="AE218" i="1"/>
  <c r="AA218" i="1"/>
  <c r="Z218" i="1"/>
  <c r="Y218" i="1"/>
  <c r="X218" i="1"/>
  <c r="W218" i="1"/>
  <c r="V218" i="1"/>
  <c r="U218" i="1"/>
  <c r="T218" i="1"/>
  <c r="S218" i="1"/>
  <c r="R218" i="1"/>
  <c r="Q218" i="1"/>
  <c r="O218" i="1"/>
  <c r="K218" i="1"/>
  <c r="I218" i="1"/>
  <c r="H218" i="1"/>
  <c r="G218" i="1"/>
  <c r="F218" i="1"/>
  <c r="E218" i="1"/>
  <c r="D218" i="1"/>
  <c r="AE217" i="1"/>
  <c r="AA217" i="1"/>
  <c r="Z217" i="1"/>
  <c r="Y217" i="1"/>
  <c r="X217" i="1"/>
  <c r="W217" i="1"/>
  <c r="V217" i="1"/>
  <c r="U217" i="1"/>
  <c r="T217" i="1"/>
  <c r="S217" i="1"/>
  <c r="R217" i="1"/>
  <c r="Q217" i="1"/>
  <c r="O217" i="1"/>
  <c r="K217" i="1"/>
  <c r="I217" i="1"/>
  <c r="H217" i="1"/>
  <c r="G217" i="1"/>
  <c r="F217" i="1"/>
  <c r="E217" i="1"/>
  <c r="D217" i="1"/>
  <c r="AE216" i="1"/>
  <c r="AA216" i="1"/>
  <c r="Z216" i="1"/>
  <c r="Y216" i="1"/>
  <c r="X216" i="1"/>
  <c r="W216" i="1"/>
  <c r="V216" i="1"/>
  <c r="U216" i="1"/>
  <c r="T216" i="1"/>
  <c r="S216" i="1"/>
  <c r="R216" i="1"/>
  <c r="Q216" i="1"/>
  <c r="O216" i="1"/>
  <c r="K216" i="1"/>
  <c r="I216" i="1"/>
  <c r="H216" i="1"/>
  <c r="G216" i="1"/>
  <c r="F216" i="1"/>
  <c r="E216" i="1"/>
  <c r="D216" i="1"/>
  <c r="AE215" i="1"/>
  <c r="AA215" i="1"/>
  <c r="Z215" i="1"/>
  <c r="Y215" i="1"/>
  <c r="X215" i="1"/>
  <c r="W215" i="1"/>
  <c r="V215" i="1"/>
  <c r="U215" i="1"/>
  <c r="T215" i="1"/>
  <c r="S215" i="1"/>
  <c r="R215" i="1"/>
  <c r="Q215" i="1"/>
  <c r="O215" i="1"/>
  <c r="K215" i="1"/>
  <c r="I215" i="1"/>
  <c r="H215" i="1"/>
  <c r="G215" i="1"/>
  <c r="F215" i="1"/>
  <c r="E215" i="1"/>
  <c r="D215" i="1"/>
  <c r="AE214" i="1"/>
  <c r="AA214" i="1"/>
  <c r="Z214" i="1"/>
  <c r="Y214" i="1"/>
  <c r="X214" i="1"/>
  <c r="W214" i="1"/>
  <c r="V214" i="1"/>
  <c r="U214" i="1"/>
  <c r="T214" i="1"/>
  <c r="S214" i="1"/>
  <c r="R214" i="1"/>
  <c r="Q214" i="1"/>
  <c r="O214" i="1"/>
  <c r="K214" i="1"/>
  <c r="I214" i="1"/>
  <c r="H214" i="1"/>
  <c r="G214" i="1"/>
  <c r="F214" i="1"/>
  <c r="E214" i="1"/>
  <c r="D214" i="1"/>
  <c r="AE213" i="1"/>
  <c r="AA213" i="1"/>
  <c r="Z213" i="1"/>
  <c r="Y213" i="1"/>
  <c r="X213" i="1"/>
  <c r="W213" i="1"/>
  <c r="V213" i="1"/>
  <c r="U213" i="1"/>
  <c r="T213" i="1"/>
  <c r="S213" i="1"/>
  <c r="R213" i="1"/>
  <c r="Q213" i="1"/>
  <c r="O213" i="1"/>
  <c r="K213" i="1"/>
  <c r="I213" i="1"/>
  <c r="H213" i="1"/>
  <c r="G213" i="1"/>
  <c r="F213" i="1"/>
  <c r="E213" i="1"/>
  <c r="D213" i="1"/>
  <c r="AE212" i="1"/>
  <c r="AA212" i="1"/>
  <c r="Z212" i="1"/>
  <c r="Y212" i="1"/>
  <c r="X212" i="1"/>
  <c r="W212" i="1"/>
  <c r="V212" i="1"/>
  <c r="U212" i="1"/>
  <c r="T212" i="1"/>
  <c r="S212" i="1"/>
  <c r="R212" i="1"/>
  <c r="Q212" i="1"/>
  <c r="O212" i="1"/>
  <c r="K212" i="1"/>
  <c r="I212" i="1"/>
  <c r="H212" i="1"/>
  <c r="G212" i="1"/>
  <c r="F212" i="1"/>
  <c r="E212" i="1"/>
  <c r="D212" i="1"/>
  <c r="AE211" i="1"/>
  <c r="AA211" i="1"/>
  <c r="Z211" i="1"/>
  <c r="Y211" i="1"/>
  <c r="X211" i="1"/>
  <c r="W211" i="1"/>
  <c r="V211" i="1"/>
  <c r="U211" i="1"/>
  <c r="T211" i="1"/>
  <c r="S211" i="1"/>
  <c r="R211" i="1"/>
  <c r="Q211" i="1"/>
  <c r="O211" i="1"/>
  <c r="K211" i="1"/>
  <c r="I211" i="1"/>
  <c r="H211" i="1"/>
  <c r="G211" i="1"/>
  <c r="F211" i="1"/>
  <c r="E211" i="1"/>
  <c r="D211" i="1"/>
  <c r="AE210" i="1"/>
  <c r="AA210" i="1"/>
  <c r="Z210" i="1"/>
  <c r="Y210" i="1"/>
  <c r="X210" i="1"/>
  <c r="W210" i="1"/>
  <c r="V210" i="1"/>
  <c r="U210" i="1"/>
  <c r="T210" i="1"/>
  <c r="S210" i="1"/>
  <c r="R210" i="1"/>
  <c r="Q210" i="1"/>
  <c r="O210" i="1"/>
  <c r="K210" i="1"/>
  <c r="I210" i="1"/>
  <c r="H210" i="1"/>
  <c r="G210" i="1"/>
  <c r="F210" i="1"/>
  <c r="E210" i="1"/>
  <c r="D210" i="1"/>
  <c r="AE209" i="1"/>
  <c r="AA209" i="1"/>
  <c r="Z209" i="1"/>
  <c r="Y209" i="1"/>
  <c r="X209" i="1"/>
  <c r="W209" i="1"/>
  <c r="V209" i="1"/>
  <c r="U209" i="1"/>
  <c r="T209" i="1"/>
  <c r="S209" i="1"/>
  <c r="R209" i="1"/>
  <c r="Q209" i="1"/>
  <c r="O209" i="1"/>
  <c r="K209" i="1"/>
  <c r="I209" i="1"/>
  <c r="H209" i="1"/>
  <c r="G209" i="1"/>
  <c r="F209" i="1"/>
  <c r="E209" i="1"/>
  <c r="D209" i="1"/>
  <c r="AE208" i="1"/>
  <c r="AA208" i="1"/>
  <c r="Z208" i="1"/>
  <c r="Y208" i="1"/>
  <c r="X208" i="1"/>
  <c r="W208" i="1"/>
  <c r="V208" i="1"/>
  <c r="U208" i="1"/>
  <c r="T208" i="1"/>
  <c r="S208" i="1"/>
  <c r="R208" i="1"/>
  <c r="Q208" i="1"/>
  <c r="O208" i="1"/>
  <c r="K208" i="1"/>
  <c r="I208" i="1"/>
  <c r="H208" i="1"/>
  <c r="G208" i="1"/>
  <c r="F208" i="1"/>
  <c r="E208" i="1"/>
  <c r="D208" i="1"/>
  <c r="AE207" i="1"/>
  <c r="AA207" i="1"/>
  <c r="Z207" i="1"/>
  <c r="Y207" i="1"/>
  <c r="X207" i="1"/>
  <c r="W207" i="1"/>
  <c r="V207" i="1"/>
  <c r="U207" i="1"/>
  <c r="T207" i="1"/>
  <c r="S207" i="1"/>
  <c r="R207" i="1"/>
  <c r="Q207" i="1"/>
  <c r="O207" i="1"/>
  <c r="K207" i="1"/>
  <c r="I207" i="1"/>
  <c r="H207" i="1"/>
  <c r="G207" i="1"/>
  <c r="F207" i="1"/>
  <c r="E207" i="1"/>
  <c r="D207" i="1"/>
  <c r="AE206" i="1"/>
  <c r="AA206" i="1"/>
  <c r="Z206" i="1"/>
  <c r="Y206" i="1"/>
  <c r="X206" i="1"/>
  <c r="W206" i="1"/>
  <c r="V206" i="1"/>
  <c r="U206" i="1"/>
  <c r="T206" i="1"/>
  <c r="S206" i="1"/>
  <c r="R206" i="1"/>
  <c r="Q206" i="1"/>
  <c r="O206" i="1"/>
  <c r="K206" i="1"/>
  <c r="I206" i="1"/>
  <c r="H206" i="1"/>
  <c r="G206" i="1"/>
  <c r="F206" i="1"/>
  <c r="E206" i="1"/>
  <c r="D206" i="1"/>
  <c r="AE205" i="1"/>
  <c r="AA205" i="1"/>
  <c r="Z205" i="1"/>
  <c r="Y205" i="1"/>
  <c r="X205" i="1"/>
  <c r="W205" i="1"/>
  <c r="V205" i="1"/>
  <c r="U205" i="1"/>
  <c r="T205" i="1"/>
  <c r="S205" i="1"/>
  <c r="R205" i="1"/>
  <c r="Q205" i="1"/>
  <c r="O205" i="1"/>
  <c r="K205" i="1"/>
  <c r="I205" i="1"/>
  <c r="H205" i="1"/>
  <c r="G205" i="1"/>
  <c r="F205" i="1"/>
  <c r="E205" i="1"/>
  <c r="D205" i="1"/>
  <c r="AE204" i="1"/>
  <c r="AA204" i="1"/>
  <c r="Z204" i="1"/>
  <c r="Y204" i="1"/>
  <c r="X204" i="1"/>
  <c r="W204" i="1"/>
  <c r="V204" i="1"/>
  <c r="U204" i="1"/>
  <c r="T204" i="1"/>
  <c r="S204" i="1"/>
  <c r="R204" i="1"/>
  <c r="Q204" i="1"/>
  <c r="O204" i="1"/>
  <c r="K204" i="1"/>
  <c r="I204" i="1"/>
  <c r="H204" i="1"/>
  <c r="G204" i="1"/>
  <c r="F204" i="1"/>
  <c r="E204" i="1"/>
  <c r="D204" i="1"/>
  <c r="AE203" i="1"/>
  <c r="AA203" i="1"/>
  <c r="Z203" i="1"/>
  <c r="Y203" i="1"/>
  <c r="X203" i="1"/>
  <c r="W203" i="1"/>
  <c r="V203" i="1"/>
  <c r="U203" i="1"/>
  <c r="T203" i="1"/>
  <c r="S203" i="1"/>
  <c r="R203" i="1"/>
  <c r="Q203" i="1"/>
  <c r="O203" i="1"/>
  <c r="K203" i="1"/>
  <c r="I203" i="1"/>
  <c r="H203" i="1"/>
  <c r="G203" i="1"/>
  <c r="F203" i="1"/>
  <c r="E203" i="1"/>
  <c r="D203" i="1"/>
  <c r="AE202" i="1"/>
  <c r="AA202" i="1"/>
  <c r="Z202" i="1"/>
  <c r="Y202" i="1"/>
  <c r="X202" i="1"/>
  <c r="W202" i="1"/>
  <c r="V202" i="1"/>
  <c r="U202" i="1"/>
  <c r="T202" i="1"/>
  <c r="S202" i="1"/>
  <c r="R202" i="1"/>
  <c r="Q202" i="1"/>
  <c r="O202" i="1"/>
  <c r="K202" i="1"/>
  <c r="I202" i="1"/>
  <c r="H202" i="1"/>
  <c r="G202" i="1"/>
  <c r="F202" i="1"/>
  <c r="E202" i="1"/>
  <c r="D202" i="1"/>
  <c r="AE201" i="1"/>
  <c r="AA201" i="1"/>
  <c r="Z201" i="1"/>
  <c r="Y201" i="1"/>
  <c r="X201" i="1"/>
  <c r="W201" i="1"/>
  <c r="V201" i="1"/>
  <c r="U201" i="1"/>
  <c r="T201" i="1"/>
  <c r="S201" i="1"/>
  <c r="R201" i="1"/>
  <c r="Q201" i="1"/>
  <c r="O201" i="1"/>
  <c r="K201" i="1"/>
  <c r="I201" i="1"/>
  <c r="H201" i="1"/>
  <c r="G201" i="1"/>
  <c r="F201" i="1"/>
  <c r="E201" i="1"/>
  <c r="D201" i="1"/>
  <c r="AE200" i="1"/>
  <c r="AA200" i="1"/>
  <c r="Z200" i="1"/>
  <c r="Y200" i="1"/>
  <c r="X200" i="1"/>
  <c r="W200" i="1"/>
  <c r="V200" i="1"/>
  <c r="U200" i="1"/>
  <c r="T200" i="1"/>
  <c r="S200" i="1"/>
  <c r="R200" i="1"/>
  <c r="Q200" i="1"/>
  <c r="O200" i="1"/>
  <c r="K200" i="1"/>
  <c r="I200" i="1"/>
  <c r="H200" i="1"/>
  <c r="G200" i="1"/>
  <c r="F200" i="1"/>
  <c r="E200" i="1"/>
  <c r="D200" i="1"/>
  <c r="AE199" i="1"/>
  <c r="AA199" i="1"/>
  <c r="Z199" i="1"/>
  <c r="Y199" i="1"/>
  <c r="X199" i="1"/>
  <c r="W199" i="1"/>
  <c r="V199" i="1"/>
  <c r="U199" i="1"/>
  <c r="T199" i="1"/>
  <c r="S199" i="1"/>
  <c r="R199" i="1"/>
  <c r="Q199" i="1"/>
  <c r="O199" i="1"/>
  <c r="K199" i="1"/>
  <c r="I199" i="1"/>
  <c r="H199" i="1"/>
  <c r="G199" i="1"/>
  <c r="F199" i="1"/>
  <c r="E199" i="1"/>
  <c r="D199" i="1"/>
  <c r="AE198" i="1"/>
  <c r="AA198" i="1"/>
  <c r="Z198" i="1"/>
  <c r="Y198" i="1"/>
  <c r="X198" i="1"/>
  <c r="W198" i="1"/>
  <c r="V198" i="1"/>
  <c r="U198" i="1"/>
  <c r="T198" i="1"/>
  <c r="S198" i="1"/>
  <c r="R198" i="1"/>
  <c r="Q198" i="1"/>
  <c r="O198" i="1"/>
  <c r="K198" i="1"/>
  <c r="I198" i="1"/>
  <c r="H198" i="1"/>
  <c r="G198" i="1"/>
  <c r="F198" i="1"/>
  <c r="E198" i="1"/>
  <c r="D198" i="1"/>
  <c r="AE197" i="1"/>
  <c r="AA197" i="1"/>
  <c r="Z197" i="1"/>
  <c r="Y197" i="1"/>
  <c r="X197" i="1"/>
  <c r="W197" i="1"/>
  <c r="V197" i="1"/>
  <c r="U197" i="1"/>
  <c r="T197" i="1"/>
  <c r="S197" i="1"/>
  <c r="R197" i="1"/>
  <c r="Q197" i="1"/>
  <c r="O197" i="1"/>
  <c r="K197" i="1"/>
  <c r="I197" i="1"/>
  <c r="H197" i="1"/>
  <c r="G197" i="1"/>
  <c r="F197" i="1"/>
  <c r="E197" i="1"/>
  <c r="D197" i="1"/>
  <c r="AE196" i="1"/>
  <c r="AA196" i="1"/>
  <c r="Z196" i="1"/>
  <c r="Y196" i="1"/>
  <c r="X196" i="1"/>
  <c r="W196" i="1"/>
  <c r="V196" i="1"/>
  <c r="U196" i="1"/>
  <c r="T196" i="1"/>
  <c r="S196" i="1"/>
  <c r="R196" i="1"/>
  <c r="Q196" i="1"/>
  <c r="O196" i="1"/>
  <c r="K196" i="1"/>
  <c r="I196" i="1"/>
  <c r="H196" i="1"/>
  <c r="G196" i="1"/>
  <c r="F196" i="1"/>
  <c r="E196" i="1"/>
  <c r="D196" i="1"/>
  <c r="AE195" i="1"/>
  <c r="AA195" i="1"/>
  <c r="Z195" i="1"/>
  <c r="Y195" i="1"/>
  <c r="X195" i="1"/>
  <c r="W195" i="1"/>
  <c r="V195" i="1"/>
  <c r="U195" i="1"/>
  <c r="T195" i="1"/>
  <c r="S195" i="1"/>
  <c r="R195" i="1"/>
  <c r="Q195" i="1"/>
  <c r="O195" i="1"/>
  <c r="K195" i="1"/>
  <c r="I195" i="1"/>
  <c r="H195" i="1"/>
  <c r="G195" i="1"/>
  <c r="F195" i="1"/>
  <c r="E195" i="1"/>
  <c r="D195" i="1"/>
  <c r="AE194" i="1"/>
  <c r="AA194" i="1"/>
  <c r="Z194" i="1"/>
  <c r="Y194" i="1"/>
  <c r="X194" i="1"/>
  <c r="W194" i="1"/>
  <c r="V194" i="1"/>
  <c r="U194" i="1"/>
  <c r="T194" i="1"/>
  <c r="S194" i="1"/>
  <c r="R194" i="1"/>
  <c r="Q194" i="1"/>
  <c r="O194" i="1"/>
  <c r="K194" i="1"/>
  <c r="I194" i="1"/>
  <c r="H194" i="1"/>
  <c r="G194" i="1"/>
  <c r="F194" i="1"/>
  <c r="E194" i="1"/>
  <c r="D194" i="1"/>
  <c r="AE193" i="1"/>
  <c r="AA193" i="1"/>
  <c r="Z193" i="1"/>
  <c r="Y193" i="1"/>
  <c r="X193" i="1"/>
  <c r="W193" i="1"/>
  <c r="V193" i="1"/>
  <c r="U193" i="1"/>
  <c r="T193" i="1"/>
  <c r="S193" i="1"/>
  <c r="R193" i="1"/>
  <c r="Q193" i="1"/>
  <c r="O193" i="1"/>
  <c r="K193" i="1"/>
  <c r="I193" i="1"/>
  <c r="H193" i="1"/>
  <c r="G193" i="1"/>
  <c r="F193" i="1"/>
  <c r="E193" i="1"/>
  <c r="D193" i="1"/>
  <c r="AE192" i="1"/>
  <c r="AA192" i="1"/>
  <c r="Z192" i="1"/>
  <c r="Y192" i="1"/>
  <c r="X192" i="1"/>
  <c r="W192" i="1"/>
  <c r="V192" i="1"/>
  <c r="U192" i="1"/>
  <c r="T192" i="1"/>
  <c r="S192" i="1"/>
  <c r="R192" i="1"/>
  <c r="Q192" i="1"/>
  <c r="O192" i="1"/>
  <c r="K192" i="1"/>
  <c r="I192" i="1"/>
  <c r="H192" i="1"/>
  <c r="G192" i="1"/>
  <c r="F192" i="1"/>
  <c r="E192" i="1"/>
  <c r="D192" i="1"/>
  <c r="AE191" i="1"/>
  <c r="AA191" i="1"/>
  <c r="Z191" i="1"/>
  <c r="Y191" i="1"/>
  <c r="X191" i="1"/>
  <c r="W191" i="1"/>
  <c r="V191" i="1"/>
  <c r="U191" i="1"/>
  <c r="T191" i="1"/>
  <c r="S191" i="1"/>
  <c r="R191" i="1"/>
  <c r="Q191" i="1"/>
  <c r="O191" i="1"/>
  <c r="K191" i="1"/>
  <c r="I191" i="1"/>
  <c r="H191" i="1"/>
  <c r="G191" i="1"/>
  <c r="F191" i="1"/>
  <c r="E191" i="1"/>
  <c r="D191" i="1"/>
  <c r="AE190" i="1"/>
  <c r="AA190" i="1"/>
  <c r="Z190" i="1"/>
  <c r="Y190" i="1"/>
  <c r="X190" i="1"/>
  <c r="W190" i="1"/>
  <c r="V190" i="1"/>
  <c r="U190" i="1"/>
  <c r="T190" i="1"/>
  <c r="S190" i="1"/>
  <c r="R190" i="1"/>
  <c r="Q190" i="1"/>
  <c r="O190" i="1"/>
  <c r="K190" i="1"/>
  <c r="I190" i="1"/>
  <c r="H190" i="1"/>
  <c r="G190" i="1"/>
  <c r="F190" i="1"/>
  <c r="E190" i="1"/>
  <c r="D190" i="1"/>
  <c r="AE189" i="1"/>
  <c r="AA189" i="1"/>
  <c r="Z189" i="1"/>
  <c r="Y189" i="1"/>
  <c r="X189" i="1"/>
  <c r="W189" i="1"/>
  <c r="V189" i="1"/>
  <c r="U189" i="1"/>
  <c r="T189" i="1"/>
  <c r="S189" i="1"/>
  <c r="R189" i="1"/>
  <c r="Q189" i="1"/>
  <c r="O189" i="1"/>
  <c r="K189" i="1"/>
  <c r="I189" i="1"/>
  <c r="H189" i="1"/>
  <c r="G189" i="1"/>
  <c r="F189" i="1"/>
  <c r="E189" i="1"/>
  <c r="D189" i="1"/>
  <c r="AE188" i="1"/>
  <c r="AA188" i="1"/>
  <c r="Z188" i="1"/>
  <c r="Y188" i="1"/>
  <c r="X188" i="1"/>
  <c r="W188" i="1"/>
  <c r="V188" i="1"/>
  <c r="U188" i="1"/>
  <c r="T188" i="1"/>
  <c r="S188" i="1"/>
  <c r="R188" i="1"/>
  <c r="Q188" i="1"/>
  <c r="O188" i="1"/>
  <c r="K188" i="1"/>
  <c r="I188" i="1"/>
  <c r="H188" i="1"/>
  <c r="G188" i="1"/>
  <c r="F188" i="1"/>
  <c r="E188" i="1"/>
  <c r="D188" i="1"/>
  <c r="AE187" i="1"/>
  <c r="AA187" i="1"/>
  <c r="Z187" i="1"/>
  <c r="Y187" i="1"/>
  <c r="X187" i="1"/>
  <c r="W187" i="1"/>
  <c r="V187" i="1"/>
  <c r="U187" i="1"/>
  <c r="T187" i="1"/>
  <c r="S187" i="1"/>
  <c r="R187" i="1"/>
  <c r="Q187" i="1"/>
  <c r="O187" i="1"/>
  <c r="K187" i="1"/>
  <c r="I187" i="1"/>
  <c r="H187" i="1"/>
  <c r="G187" i="1"/>
  <c r="F187" i="1"/>
  <c r="E187" i="1"/>
  <c r="D187" i="1"/>
  <c r="AE186" i="1"/>
  <c r="AA186" i="1"/>
  <c r="Z186" i="1"/>
  <c r="Y186" i="1"/>
  <c r="X186" i="1"/>
  <c r="W186" i="1"/>
  <c r="V186" i="1"/>
  <c r="U186" i="1"/>
  <c r="T186" i="1"/>
  <c r="S186" i="1"/>
  <c r="R186" i="1"/>
  <c r="Q186" i="1"/>
  <c r="O186" i="1"/>
  <c r="K186" i="1"/>
  <c r="I186" i="1"/>
  <c r="H186" i="1"/>
  <c r="G186" i="1"/>
  <c r="F186" i="1"/>
  <c r="E186" i="1"/>
  <c r="D186" i="1"/>
  <c r="AE185" i="1"/>
  <c r="AA185" i="1"/>
  <c r="Z185" i="1"/>
  <c r="Y185" i="1"/>
  <c r="X185" i="1"/>
  <c r="W185" i="1"/>
  <c r="V185" i="1"/>
  <c r="U185" i="1"/>
  <c r="T185" i="1"/>
  <c r="S185" i="1"/>
  <c r="R185" i="1"/>
  <c r="Q185" i="1"/>
  <c r="O185" i="1"/>
  <c r="K185" i="1"/>
  <c r="I185" i="1"/>
  <c r="H185" i="1"/>
  <c r="G185" i="1"/>
  <c r="F185" i="1"/>
  <c r="E185" i="1"/>
  <c r="D185" i="1"/>
  <c r="AE184" i="1"/>
  <c r="AA184" i="1"/>
  <c r="Z184" i="1"/>
  <c r="Y184" i="1"/>
  <c r="X184" i="1"/>
  <c r="W184" i="1"/>
  <c r="V184" i="1"/>
  <c r="U184" i="1"/>
  <c r="T184" i="1"/>
  <c r="S184" i="1"/>
  <c r="R184" i="1"/>
  <c r="Q184" i="1"/>
  <c r="O184" i="1"/>
  <c r="K184" i="1"/>
  <c r="I184" i="1"/>
  <c r="H184" i="1"/>
  <c r="G184" i="1"/>
  <c r="F184" i="1"/>
  <c r="E184" i="1"/>
  <c r="D184" i="1"/>
  <c r="AE183" i="1"/>
  <c r="AA183" i="1"/>
  <c r="Z183" i="1"/>
  <c r="Y183" i="1"/>
  <c r="X183" i="1"/>
  <c r="W183" i="1"/>
  <c r="V183" i="1"/>
  <c r="U183" i="1"/>
  <c r="T183" i="1"/>
  <c r="S183" i="1"/>
  <c r="R183" i="1"/>
  <c r="Q183" i="1"/>
  <c r="O183" i="1"/>
  <c r="K183" i="1"/>
  <c r="I183" i="1"/>
  <c r="H183" i="1"/>
  <c r="G183" i="1"/>
  <c r="F183" i="1"/>
  <c r="E183" i="1"/>
  <c r="D183" i="1"/>
  <c r="AE182" i="1"/>
  <c r="AA182" i="1"/>
  <c r="Z182" i="1"/>
  <c r="Y182" i="1"/>
  <c r="X182" i="1"/>
  <c r="W182" i="1"/>
  <c r="V182" i="1"/>
  <c r="U182" i="1"/>
  <c r="T182" i="1"/>
  <c r="S182" i="1"/>
  <c r="R182" i="1"/>
  <c r="Q182" i="1"/>
  <c r="O182" i="1"/>
  <c r="K182" i="1"/>
  <c r="I182" i="1"/>
  <c r="H182" i="1"/>
  <c r="G182" i="1"/>
  <c r="F182" i="1"/>
  <c r="E182" i="1"/>
  <c r="D182" i="1"/>
  <c r="AE181" i="1"/>
  <c r="AA181" i="1"/>
  <c r="Z181" i="1"/>
  <c r="Y181" i="1"/>
  <c r="X181" i="1"/>
  <c r="W181" i="1"/>
  <c r="V181" i="1"/>
  <c r="U181" i="1"/>
  <c r="T181" i="1"/>
  <c r="S181" i="1"/>
  <c r="R181" i="1"/>
  <c r="Q181" i="1"/>
  <c r="O181" i="1"/>
  <c r="K181" i="1"/>
  <c r="I181" i="1"/>
  <c r="H181" i="1"/>
  <c r="G181" i="1"/>
  <c r="F181" i="1"/>
  <c r="E181" i="1"/>
  <c r="D181" i="1"/>
  <c r="AE180" i="1"/>
  <c r="AA180" i="1"/>
  <c r="Z180" i="1"/>
  <c r="Y180" i="1"/>
  <c r="X180" i="1"/>
  <c r="W180" i="1"/>
  <c r="V180" i="1"/>
  <c r="U180" i="1"/>
  <c r="T180" i="1"/>
  <c r="S180" i="1"/>
  <c r="R180" i="1"/>
  <c r="Q180" i="1"/>
  <c r="O180" i="1"/>
  <c r="K180" i="1"/>
  <c r="I180" i="1"/>
  <c r="H180" i="1"/>
  <c r="G180" i="1"/>
  <c r="F180" i="1"/>
  <c r="E180" i="1"/>
  <c r="D180" i="1"/>
  <c r="AE179" i="1"/>
  <c r="AA179" i="1"/>
  <c r="Z179" i="1"/>
  <c r="Y179" i="1"/>
  <c r="X179" i="1"/>
  <c r="W179" i="1"/>
  <c r="V179" i="1"/>
  <c r="U179" i="1"/>
  <c r="T179" i="1"/>
  <c r="S179" i="1"/>
  <c r="R179" i="1"/>
  <c r="Q179" i="1"/>
  <c r="O179" i="1"/>
  <c r="K179" i="1"/>
  <c r="I179" i="1"/>
  <c r="H179" i="1"/>
  <c r="G179" i="1"/>
  <c r="F179" i="1"/>
  <c r="E179" i="1"/>
  <c r="D179" i="1"/>
  <c r="AE178" i="1"/>
  <c r="AA178" i="1"/>
  <c r="Z178" i="1"/>
  <c r="Y178" i="1"/>
  <c r="X178" i="1"/>
  <c r="W178" i="1"/>
  <c r="V178" i="1"/>
  <c r="U178" i="1"/>
  <c r="T178" i="1"/>
  <c r="S178" i="1"/>
  <c r="R178" i="1"/>
  <c r="Q178" i="1"/>
  <c r="O178" i="1"/>
  <c r="K178" i="1"/>
  <c r="I178" i="1"/>
  <c r="H178" i="1"/>
  <c r="G178" i="1"/>
  <c r="F178" i="1"/>
  <c r="E178" i="1"/>
  <c r="D178" i="1"/>
  <c r="AE177" i="1"/>
  <c r="AA177" i="1"/>
  <c r="Z177" i="1"/>
  <c r="Y177" i="1"/>
  <c r="X177" i="1"/>
  <c r="W177" i="1"/>
  <c r="V177" i="1"/>
  <c r="U177" i="1"/>
  <c r="T177" i="1"/>
  <c r="S177" i="1"/>
  <c r="R177" i="1"/>
  <c r="Q177" i="1"/>
  <c r="O177" i="1"/>
  <c r="K177" i="1"/>
  <c r="I177" i="1"/>
  <c r="H177" i="1"/>
  <c r="G177" i="1"/>
  <c r="F177" i="1"/>
  <c r="E177" i="1"/>
  <c r="D177" i="1"/>
  <c r="AE176" i="1"/>
  <c r="AA176" i="1"/>
  <c r="Z176" i="1"/>
  <c r="Y176" i="1"/>
  <c r="X176" i="1"/>
  <c r="W176" i="1"/>
  <c r="V176" i="1"/>
  <c r="U176" i="1"/>
  <c r="T176" i="1"/>
  <c r="S176" i="1"/>
  <c r="R176" i="1"/>
  <c r="Q176" i="1"/>
  <c r="O176" i="1"/>
  <c r="K176" i="1"/>
  <c r="I176" i="1"/>
  <c r="H176" i="1"/>
  <c r="G176" i="1"/>
  <c r="F176" i="1"/>
  <c r="E176" i="1"/>
  <c r="D176" i="1"/>
  <c r="AE175" i="1"/>
  <c r="AA175" i="1"/>
  <c r="Z175" i="1"/>
  <c r="Y175" i="1"/>
  <c r="X175" i="1"/>
  <c r="W175" i="1"/>
  <c r="V175" i="1"/>
  <c r="U175" i="1"/>
  <c r="T175" i="1"/>
  <c r="S175" i="1"/>
  <c r="R175" i="1"/>
  <c r="Q175" i="1"/>
  <c r="O175" i="1"/>
  <c r="K175" i="1"/>
  <c r="I175" i="1"/>
  <c r="H175" i="1"/>
  <c r="G175" i="1"/>
  <c r="F175" i="1"/>
  <c r="E175" i="1"/>
  <c r="D175" i="1"/>
  <c r="AE174" i="1"/>
  <c r="AA174" i="1"/>
  <c r="Z174" i="1"/>
  <c r="Y174" i="1"/>
  <c r="X174" i="1"/>
  <c r="W174" i="1"/>
  <c r="V174" i="1"/>
  <c r="U174" i="1"/>
  <c r="T174" i="1"/>
  <c r="S174" i="1"/>
  <c r="R174" i="1"/>
  <c r="Q174" i="1"/>
  <c r="O174" i="1"/>
  <c r="K174" i="1"/>
  <c r="I174" i="1"/>
  <c r="H174" i="1"/>
  <c r="G174" i="1"/>
  <c r="F174" i="1"/>
  <c r="E174" i="1"/>
  <c r="D174" i="1"/>
  <c r="AE173" i="1"/>
  <c r="AA173" i="1"/>
  <c r="Z173" i="1"/>
  <c r="Y173" i="1"/>
  <c r="X173" i="1"/>
  <c r="W173" i="1"/>
  <c r="V173" i="1"/>
  <c r="U173" i="1"/>
  <c r="T173" i="1"/>
  <c r="S173" i="1"/>
  <c r="R173" i="1"/>
  <c r="Q173" i="1"/>
  <c r="O173" i="1"/>
  <c r="K173" i="1"/>
  <c r="I173" i="1"/>
  <c r="H173" i="1"/>
  <c r="G173" i="1"/>
  <c r="F173" i="1"/>
  <c r="E173" i="1"/>
  <c r="D173" i="1"/>
  <c r="AE172" i="1"/>
  <c r="AA172" i="1"/>
  <c r="Z172" i="1"/>
  <c r="Y172" i="1"/>
  <c r="X172" i="1"/>
  <c r="W172" i="1"/>
  <c r="V172" i="1"/>
  <c r="U172" i="1"/>
  <c r="T172" i="1"/>
  <c r="S172" i="1"/>
  <c r="R172" i="1"/>
  <c r="Q172" i="1"/>
  <c r="O172" i="1"/>
  <c r="K172" i="1"/>
  <c r="I172" i="1"/>
  <c r="H172" i="1"/>
  <c r="G172" i="1"/>
  <c r="F172" i="1"/>
  <c r="E172" i="1"/>
  <c r="D172" i="1"/>
  <c r="AE171" i="1"/>
  <c r="AA171" i="1"/>
  <c r="Z171" i="1"/>
  <c r="Y171" i="1"/>
  <c r="X171" i="1"/>
  <c r="W171" i="1"/>
  <c r="V171" i="1"/>
  <c r="U171" i="1"/>
  <c r="T171" i="1"/>
  <c r="S171" i="1"/>
  <c r="R171" i="1"/>
  <c r="Q171" i="1"/>
  <c r="O171" i="1"/>
  <c r="K171" i="1"/>
  <c r="I171" i="1"/>
  <c r="H171" i="1"/>
  <c r="G171" i="1"/>
  <c r="F171" i="1"/>
  <c r="E171" i="1"/>
  <c r="D171" i="1"/>
  <c r="AE170" i="1"/>
  <c r="AA170" i="1"/>
  <c r="Z170" i="1"/>
  <c r="Y170" i="1"/>
  <c r="X170" i="1"/>
  <c r="W170" i="1"/>
  <c r="V170" i="1"/>
  <c r="U170" i="1"/>
  <c r="T170" i="1"/>
  <c r="S170" i="1"/>
  <c r="R170" i="1"/>
  <c r="Q170" i="1"/>
  <c r="O170" i="1"/>
  <c r="K170" i="1"/>
  <c r="I170" i="1"/>
  <c r="H170" i="1"/>
  <c r="G170" i="1"/>
  <c r="F170" i="1"/>
  <c r="E170" i="1"/>
  <c r="D170" i="1"/>
  <c r="AE169" i="1"/>
  <c r="AA169" i="1"/>
  <c r="Z169" i="1"/>
  <c r="Y169" i="1"/>
  <c r="X169" i="1"/>
  <c r="W169" i="1"/>
  <c r="V169" i="1"/>
  <c r="U169" i="1"/>
  <c r="T169" i="1"/>
  <c r="S169" i="1"/>
  <c r="R169" i="1"/>
  <c r="Q169" i="1"/>
  <c r="O169" i="1"/>
  <c r="K169" i="1"/>
  <c r="I169" i="1"/>
  <c r="H169" i="1"/>
  <c r="G169" i="1"/>
  <c r="F169" i="1"/>
  <c r="E169" i="1"/>
  <c r="D169" i="1"/>
  <c r="AE168" i="1"/>
  <c r="AA168" i="1"/>
  <c r="Z168" i="1"/>
  <c r="Y168" i="1"/>
  <c r="X168" i="1"/>
  <c r="W168" i="1"/>
  <c r="V168" i="1"/>
  <c r="U168" i="1"/>
  <c r="T168" i="1"/>
  <c r="S168" i="1"/>
  <c r="R168" i="1"/>
  <c r="Q168" i="1"/>
  <c r="O168" i="1"/>
  <c r="K168" i="1"/>
  <c r="I168" i="1"/>
  <c r="H168" i="1"/>
  <c r="G168" i="1"/>
  <c r="F168" i="1"/>
  <c r="E168" i="1"/>
  <c r="D168" i="1"/>
  <c r="AE167" i="1"/>
  <c r="AA167" i="1"/>
  <c r="Z167" i="1"/>
  <c r="Y167" i="1"/>
  <c r="X167" i="1"/>
  <c r="W167" i="1"/>
  <c r="V167" i="1"/>
  <c r="U167" i="1"/>
  <c r="T167" i="1"/>
  <c r="S167" i="1"/>
  <c r="R167" i="1"/>
  <c r="Q167" i="1"/>
  <c r="O167" i="1"/>
  <c r="K167" i="1"/>
  <c r="I167" i="1"/>
  <c r="H167" i="1"/>
  <c r="G167" i="1"/>
  <c r="F167" i="1"/>
  <c r="E167" i="1"/>
  <c r="D167" i="1"/>
  <c r="AE166" i="1"/>
  <c r="AA166" i="1"/>
  <c r="Z166" i="1"/>
  <c r="Y166" i="1"/>
  <c r="X166" i="1"/>
  <c r="W166" i="1"/>
  <c r="V166" i="1"/>
  <c r="U166" i="1"/>
  <c r="T166" i="1"/>
  <c r="S166" i="1"/>
  <c r="R166" i="1"/>
  <c r="Q166" i="1"/>
  <c r="O166" i="1"/>
  <c r="K166" i="1"/>
  <c r="I166" i="1"/>
  <c r="H166" i="1"/>
  <c r="G166" i="1"/>
  <c r="F166" i="1"/>
  <c r="E166" i="1"/>
  <c r="D166" i="1"/>
  <c r="AE165" i="1"/>
  <c r="AA165" i="1"/>
  <c r="Z165" i="1"/>
  <c r="Y165" i="1"/>
  <c r="X165" i="1"/>
  <c r="W165" i="1"/>
  <c r="V165" i="1"/>
  <c r="U165" i="1"/>
  <c r="T165" i="1"/>
  <c r="S165" i="1"/>
  <c r="R165" i="1"/>
  <c r="Q165" i="1"/>
  <c r="O165" i="1"/>
  <c r="K165" i="1"/>
  <c r="I165" i="1"/>
  <c r="H165" i="1"/>
  <c r="G165" i="1"/>
  <c r="F165" i="1"/>
  <c r="E165" i="1"/>
  <c r="D165" i="1"/>
  <c r="AE164" i="1"/>
  <c r="AA164" i="1"/>
  <c r="Z164" i="1"/>
  <c r="Y164" i="1"/>
  <c r="X164" i="1"/>
  <c r="W164" i="1"/>
  <c r="V164" i="1"/>
  <c r="U164" i="1"/>
  <c r="T164" i="1"/>
  <c r="S164" i="1"/>
  <c r="R164" i="1"/>
  <c r="Q164" i="1"/>
  <c r="O164" i="1"/>
  <c r="K164" i="1"/>
  <c r="I164" i="1"/>
  <c r="H164" i="1"/>
  <c r="G164" i="1"/>
  <c r="F164" i="1"/>
  <c r="E164" i="1"/>
  <c r="D164" i="1"/>
  <c r="AE163" i="1"/>
  <c r="AA163" i="1"/>
  <c r="Z163" i="1"/>
  <c r="Y163" i="1"/>
  <c r="X163" i="1"/>
  <c r="W163" i="1"/>
  <c r="V163" i="1"/>
  <c r="U163" i="1"/>
  <c r="T163" i="1"/>
  <c r="S163" i="1"/>
  <c r="R163" i="1"/>
  <c r="Q163" i="1"/>
  <c r="O163" i="1"/>
  <c r="K163" i="1"/>
  <c r="I163" i="1"/>
  <c r="H163" i="1"/>
  <c r="G163" i="1"/>
  <c r="F163" i="1"/>
  <c r="E163" i="1"/>
  <c r="D163" i="1"/>
  <c r="AE162" i="1"/>
  <c r="AA162" i="1"/>
  <c r="Z162" i="1"/>
  <c r="Y162" i="1"/>
  <c r="X162" i="1"/>
  <c r="W162" i="1"/>
  <c r="V162" i="1"/>
  <c r="U162" i="1"/>
  <c r="T162" i="1"/>
  <c r="S162" i="1"/>
  <c r="R162" i="1"/>
  <c r="Q162" i="1"/>
  <c r="O162" i="1"/>
  <c r="K162" i="1"/>
  <c r="I162" i="1"/>
  <c r="H162" i="1"/>
  <c r="G162" i="1"/>
  <c r="F162" i="1"/>
  <c r="E162" i="1"/>
  <c r="D162" i="1"/>
  <c r="AE161" i="1"/>
  <c r="AA161" i="1"/>
  <c r="Z161" i="1"/>
  <c r="Y161" i="1"/>
  <c r="X161" i="1"/>
  <c r="W161" i="1"/>
  <c r="V161" i="1"/>
  <c r="U161" i="1"/>
  <c r="T161" i="1"/>
  <c r="S161" i="1"/>
  <c r="R161" i="1"/>
  <c r="Q161" i="1"/>
  <c r="O161" i="1"/>
  <c r="K161" i="1"/>
  <c r="I161" i="1"/>
  <c r="H161" i="1"/>
  <c r="G161" i="1"/>
  <c r="F161" i="1"/>
  <c r="E161" i="1"/>
  <c r="D161" i="1"/>
  <c r="AE160" i="1"/>
  <c r="AA160" i="1"/>
  <c r="Z160" i="1"/>
  <c r="Y160" i="1"/>
  <c r="X160" i="1"/>
  <c r="W160" i="1"/>
  <c r="V160" i="1"/>
  <c r="U160" i="1"/>
  <c r="T160" i="1"/>
  <c r="S160" i="1"/>
  <c r="R160" i="1"/>
  <c r="Q160" i="1"/>
  <c r="O160" i="1"/>
  <c r="K160" i="1"/>
  <c r="I160" i="1"/>
  <c r="H160" i="1"/>
  <c r="G160" i="1"/>
  <c r="F160" i="1"/>
  <c r="E160" i="1"/>
  <c r="D160" i="1"/>
  <c r="AE159" i="1"/>
  <c r="AA159" i="1"/>
  <c r="Z159" i="1"/>
  <c r="Y159" i="1"/>
  <c r="X159" i="1"/>
  <c r="W159" i="1"/>
  <c r="V159" i="1"/>
  <c r="U159" i="1"/>
  <c r="T159" i="1"/>
  <c r="S159" i="1"/>
  <c r="R159" i="1"/>
  <c r="Q159" i="1"/>
  <c r="O159" i="1"/>
  <c r="K159" i="1"/>
  <c r="I159" i="1"/>
  <c r="H159" i="1"/>
  <c r="G159" i="1"/>
  <c r="F159" i="1"/>
  <c r="E159" i="1"/>
  <c r="D159" i="1"/>
  <c r="AE158" i="1"/>
  <c r="AA158" i="1"/>
  <c r="Z158" i="1"/>
  <c r="Y158" i="1"/>
  <c r="X158" i="1"/>
  <c r="W158" i="1"/>
  <c r="V158" i="1"/>
  <c r="U158" i="1"/>
  <c r="T158" i="1"/>
  <c r="S158" i="1"/>
  <c r="R158" i="1"/>
  <c r="Q158" i="1"/>
  <c r="O158" i="1"/>
  <c r="K158" i="1"/>
  <c r="I158" i="1"/>
  <c r="H158" i="1"/>
  <c r="G158" i="1"/>
  <c r="F158" i="1"/>
  <c r="E158" i="1"/>
  <c r="D158" i="1"/>
  <c r="AE157" i="1"/>
  <c r="AA157" i="1"/>
  <c r="Z157" i="1"/>
  <c r="Y157" i="1"/>
  <c r="X157" i="1"/>
  <c r="W157" i="1"/>
  <c r="V157" i="1"/>
  <c r="U157" i="1"/>
  <c r="T157" i="1"/>
  <c r="S157" i="1"/>
  <c r="R157" i="1"/>
  <c r="Q157" i="1"/>
  <c r="O157" i="1"/>
  <c r="K157" i="1"/>
  <c r="I157" i="1"/>
  <c r="H157" i="1"/>
  <c r="G157" i="1"/>
  <c r="F157" i="1"/>
  <c r="E157" i="1"/>
  <c r="D157" i="1"/>
  <c r="AE156" i="1"/>
  <c r="AA156" i="1"/>
  <c r="Z156" i="1"/>
  <c r="Y156" i="1"/>
  <c r="X156" i="1"/>
  <c r="W156" i="1"/>
  <c r="V156" i="1"/>
  <c r="U156" i="1"/>
  <c r="T156" i="1"/>
  <c r="S156" i="1"/>
  <c r="R156" i="1"/>
  <c r="Q156" i="1"/>
  <c r="O156" i="1"/>
  <c r="K156" i="1"/>
  <c r="I156" i="1"/>
  <c r="H156" i="1"/>
  <c r="G156" i="1"/>
  <c r="F156" i="1"/>
  <c r="E156" i="1"/>
  <c r="D156" i="1"/>
  <c r="AE155" i="1"/>
  <c r="AA155" i="1"/>
  <c r="Z155" i="1"/>
  <c r="Y155" i="1"/>
  <c r="X155" i="1"/>
  <c r="W155" i="1"/>
  <c r="V155" i="1"/>
  <c r="U155" i="1"/>
  <c r="T155" i="1"/>
  <c r="S155" i="1"/>
  <c r="R155" i="1"/>
  <c r="Q155" i="1"/>
  <c r="O155" i="1"/>
  <c r="K155" i="1"/>
  <c r="I155" i="1"/>
  <c r="H155" i="1"/>
  <c r="G155" i="1"/>
  <c r="F155" i="1"/>
  <c r="E155" i="1"/>
  <c r="D155" i="1"/>
  <c r="AE154" i="1"/>
  <c r="AA154" i="1"/>
  <c r="Z154" i="1"/>
  <c r="Y154" i="1"/>
  <c r="X154" i="1"/>
  <c r="W154" i="1"/>
  <c r="V154" i="1"/>
  <c r="U154" i="1"/>
  <c r="T154" i="1"/>
  <c r="S154" i="1"/>
  <c r="R154" i="1"/>
  <c r="Q154" i="1"/>
  <c r="O154" i="1"/>
  <c r="K154" i="1"/>
  <c r="I154" i="1"/>
  <c r="H154" i="1"/>
  <c r="G154" i="1"/>
  <c r="F154" i="1"/>
  <c r="E154" i="1"/>
  <c r="D154" i="1"/>
  <c r="AE153" i="1"/>
  <c r="AA153" i="1"/>
  <c r="Z153" i="1"/>
  <c r="Y153" i="1"/>
  <c r="X153" i="1"/>
  <c r="W153" i="1"/>
  <c r="V153" i="1"/>
  <c r="U153" i="1"/>
  <c r="T153" i="1"/>
  <c r="S153" i="1"/>
  <c r="R153" i="1"/>
  <c r="Q153" i="1"/>
  <c r="O153" i="1"/>
  <c r="K153" i="1"/>
  <c r="I153" i="1"/>
  <c r="H153" i="1"/>
  <c r="G153" i="1"/>
  <c r="F153" i="1"/>
  <c r="E153" i="1"/>
  <c r="D153" i="1"/>
  <c r="AE152" i="1"/>
  <c r="AA152" i="1"/>
  <c r="Z152" i="1"/>
  <c r="Y152" i="1"/>
  <c r="X152" i="1"/>
  <c r="W152" i="1"/>
  <c r="V152" i="1"/>
  <c r="U152" i="1"/>
  <c r="T152" i="1"/>
  <c r="S152" i="1"/>
  <c r="R152" i="1"/>
  <c r="Q152" i="1"/>
  <c r="O152" i="1"/>
  <c r="K152" i="1"/>
  <c r="I152" i="1"/>
  <c r="H152" i="1"/>
  <c r="G152" i="1"/>
  <c r="F152" i="1"/>
  <c r="E152" i="1"/>
  <c r="D152" i="1"/>
  <c r="AE151" i="1"/>
  <c r="AA151" i="1"/>
  <c r="Z151" i="1"/>
  <c r="Y151" i="1"/>
  <c r="X151" i="1"/>
  <c r="W151" i="1"/>
  <c r="V151" i="1"/>
  <c r="U151" i="1"/>
  <c r="T151" i="1"/>
  <c r="S151" i="1"/>
  <c r="R151" i="1"/>
  <c r="Q151" i="1"/>
  <c r="O151" i="1"/>
  <c r="K151" i="1"/>
  <c r="I151" i="1"/>
  <c r="H151" i="1"/>
  <c r="G151" i="1"/>
  <c r="F151" i="1"/>
  <c r="E151" i="1"/>
  <c r="D151" i="1"/>
  <c r="AE150" i="1"/>
  <c r="AA150" i="1"/>
  <c r="Z150" i="1"/>
  <c r="Y150" i="1"/>
  <c r="X150" i="1"/>
  <c r="W150" i="1"/>
  <c r="V150" i="1"/>
  <c r="U150" i="1"/>
  <c r="T150" i="1"/>
  <c r="S150" i="1"/>
  <c r="R150" i="1"/>
  <c r="Q150" i="1"/>
  <c r="O150" i="1"/>
  <c r="K150" i="1"/>
  <c r="I150" i="1"/>
  <c r="H150" i="1"/>
  <c r="G150" i="1"/>
  <c r="F150" i="1"/>
  <c r="E150" i="1"/>
  <c r="D150" i="1"/>
  <c r="AE149" i="1"/>
  <c r="AA149" i="1"/>
  <c r="Z149" i="1"/>
  <c r="Y149" i="1"/>
  <c r="X149" i="1"/>
  <c r="W149" i="1"/>
  <c r="V149" i="1"/>
  <c r="U149" i="1"/>
  <c r="T149" i="1"/>
  <c r="S149" i="1"/>
  <c r="R149" i="1"/>
  <c r="Q149" i="1"/>
  <c r="O149" i="1"/>
  <c r="K149" i="1"/>
  <c r="I149" i="1"/>
  <c r="H149" i="1"/>
  <c r="G149" i="1"/>
  <c r="F149" i="1"/>
  <c r="E149" i="1"/>
  <c r="D149" i="1"/>
  <c r="AE148" i="1"/>
  <c r="AA148" i="1"/>
  <c r="Z148" i="1"/>
  <c r="Y148" i="1"/>
  <c r="X148" i="1"/>
  <c r="W148" i="1"/>
  <c r="V148" i="1"/>
  <c r="U148" i="1"/>
  <c r="T148" i="1"/>
  <c r="S148" i="1"/>
  <c r="R148" i="1"/>
  <c r="Q148" i="1"/>
  <c r="O148" i="1"/>
  <c r="K148" i="1"/>
  <c r="I148" i="1"/>
  <c r="H148" i="1"/>
  <c r="G148" i="1"/>
  <c r="F148" i="1"/>
  <c r="E148" i="1"/>
  <c r="D148" i="1"/>
  <c r="AE147" i="1"/>
  <c r="AA147" i="1"/>
  <c r="Z147" i="1"/>
  <c r="Y147" i="1"/>
  <c r="X147" i="1"/>
  <c r="W147" i="1"/>
  <c r="V147" i="1"/>
  <c r="U147" i="1"/>
  <c r="T147" i="1"/>
  <c r="S147" i="1"/>
  <c r="R147" i="1"/>
  <c r="Q147" i="1"/>
  <c r="O147" i="1"/>
  <c r="K147" i="1"/>
  <c r="I147" i="1"/>
  <c r="H147" i="1"/>
  <c r="G147" i="1"/>
  <c r="F147" i="1"/>
  <c r="E147" i="1"/>
  <c r="D147" i="1"/>
  <c r="AE146" i="1"/>
  <c r="AA146" i="1"/>
  <c r="Z146" i="1"/>
  <c r="Y146" i="1"/>
  <c r="X146" i="1"/>
  <c r="W146" i="1"/>
  <c r="V146" i="1"/>
  <c r="U146" i="1"/>
  <c r="T146" i="1"/>
  <c r="S146" i="1"/>
  <c r="R146" i="1"/>
  <c r="Q146" i="1"/>
  <c r="O146" i="1"/>
  <c r="K146" i="1"/>
  <c r="I146" i="1"/>
  <c r="H146" i="1"/>
  <c r="G146" i="1"/>
  <c r="F146" i="1"/>
  <c r="E146" i="1"/>
  <c r="D146" i="1"/>
  <c r="AE145" i="1"/>
  <c r="AA145" i="1"/>
  <c r="Z145" i="1"/>
  <c r="Y145" i="1"/>
  <c r="X145" i="1"/>
  <c r="W145" i="1"/>
  <c r="V145" i="1"/>
  <c r="U145" i="1"/>
  <c r="T145" i="1"/>
  <c r="S145" i="1"/>
  <c r="R145" i="1"/>
  <c r="Q145" i="1"/>
  <c r="O145" i="1"/>
  <c r="K145" i="1"/>
  <c r="I145" i="1"/>
  <c r="H145" i="1"/>
  <c r="G145" i="1"/>
  <c r="F145" i="1"/>
  <c r="E145" i="1"/>
  <c r="D145" i="1"/>
  <c r="AE144" i="1"/>
  <c r="AA144" i="1"/>
  <c r="Z144" i="1"/>
  <c r="Y144" i="1"/>
  <c r="X144" i="1"/>
  <c r="W144" i="1"/>
  <c r="V144" i="1"/>
  <c r="U144" i="1"/>
  <c r="T144" i="1"/>
  <c r="S144" i="1"/>
  <c r="R144" i="1"/>
  <c r="Q144" i="1"/>
  <c r="O144" i="1"/>
  <c r="K144" i="1"/>
  <c r="I144" i="1"/>
  <c r="H144" i="1"/>
  <c r="G144" i="1"/>
  <c r="F144" i="1"/>
  <c r="E144" i="1"/>
  <c r="D144" i="1"/>
  <c r="AE143" i="1"/>
  <c r="AA143" i="1"/>
  <c r="Z143" i="1"/>
  <c r="Y143" i="1"/>
  <c r="X143" i="1"/>
  <c r="W143" i="1"/>
  <c r="V143" i="1"/>
  <c r="U143" i="1"/>
  <c r="T143" i="1"/>
  <c r="S143" i="1"/>
  <c r="R143" i="1"/>
  <c r="Q143" i="1"/>
  <c r="O143" i="1"/>
  <c r="K143" i="1"/>
  <c r="I143" i="1"/>
  <c r="H143" i="1"/>
  <c r="G143" i="1"/>
  <c r="F143" i="1"/>
  <c r="E143" i="1"/>
  <c r="D143" i="1"/>
  <c r="AE142" i="1"/>
  <c r="AA142" i="1"/>
  <c r="Z142" i="1"/>
  <c r="Y142" i="1"/>
  <c r="X142" i="1"/>
  <c r="W142" i="1"/>
  <c r="V142" i="1"/>
  <c r="U142" i="1"/>
  <c r="T142" i="1"/>
  <c r="S142" i="1"/>
  <c r="R142" i="1"/>
  <c r="Q142" i="1"/>
  <c r="O142" i="1"/>
  <c r="K142" i="1"/>
  <c r="I142" i="1"/>
  <c r="H142" i="1"/>
  <c r="G142" i="1"/>
  <c r="F142" i="1"/>
  <c r="E142" i="1"/>
  <c r="D142" i="1"/>
  <c r="AE141" i="1"/>
  <c r="AA141" i="1"/>
  <c r="Z141" i="1"/>
  <c r="Y141" i="1"/>
  <c r="X141" i="1"/>
  <c r="W141" i="1"/>
  <c r="V141" i="1"/>
  <c r="U141" i="1"/>
  <c r="T141" i="1"/>
  <c r="S141" i="1"/>
  <c r="R141" i="1"/>
  <c r="Q141" i="1"/>
  <c r="O141" i="1"/>
  <c r="K141" i="1"/>
  <c r="I141" i="1"/>
  <c r="H141" i="1"/>
  <c r="G141" i="1"/>
  <c r="F141" i="1"/>
  <c r="E141" i="1"/>
  <c r="D141" i="1"/>
  <c r="AE140" i="1"/>
  <c r="AA140" i="1"/>
  <c r="Z140" i="1"/>
  <c r="Y140" i="1"/>
  <c r="X140" i="1"/>
  <c r="W140" i="1"/>
  <c r="V140" i="1"/>
  <c r="U140" i="1"/>
  <c r="T140" i="1"/>
  <c r="S140" i="1"/>
  <c r="R140" i="1"/>
  <c r="Q140" i="1"/>
  <c r="O140" i="1"/>
  <c r="K140" i="1"/>
  <c r="I140" i="1"/>
  <c r="H140" i="1"/>
  <c r="G140" i="1"/>
  <c r="F140" i="1"/>
  <c r="E140" i="1"/>
  <c r="D140" i="1"/>
  <c r="AE139" i="1"/>
  <c r="AA139" i="1"/>
  <c r="Z139" i="1"/>
  <c r="Y139" i="1"/>
  <c r="X139" i="1"/>
  <c r="W139" i="1"/>
  <c r="V139" i="1"/>
  <c r="U139" i="1"/>
  <c r="T139" i="1"/>
  <c r="S139" i="1"/>
  <c r="R139" i="1"/>
  <c r="Q139" i="1"/>
  <c r="O139" i="1"/>
  <c r="K139" i="1"/>
  <c r="I139" i="1"/>
  <c r="H139" i="1"/>
  <c r="G139" i="1"/>
  <c r="F139" i="1"/>
  <c r="E139" i="1"/>
  <c r="D139" i="1"/>
  <c r="AE138" i="1"/>
  <c r="AA138" i="1"/>
  <c r="Z138" i="1"/>
  <c r="Y138" i="1"/>
  <c r="X138" i="1"/>
  <c r="W138" i="1"/>
  <c r="V138" i="1"/>
  <c r="U138" i="1"/>
  <c r="T138" i="1"/>
  <c r="S138" i="1"/>
  <c r="R138" i="1"/>
  <c r="Q138" i="1"/>
  <c r="O138" i="1"/>
  <c r="K138" i="1"/>
  <c r="I138" i="1"/>
  <c r="H138" i="1"/>
  <c r="G138" i="1"/>
  <c r="F138" i="1"/>
  <c r="E138" i="1"/>
  <c r="D138" i="1"/>
  <c r="AE137" i="1"/>
  <c r="AA137" i="1"/>
  <c r="Z137" i="1"/>
  <c r="Y137" i="1"/>
  <c r="X137" i="1"/>
  <c r="W137" i="1"/>
  <c r="V137" i="1"/>
  <c r="U137" i="1"/>
  <c r="T137" i="1"/>
  <c r="S137" i="1"/>
  <c r="R137" i="1"/>
  <c r="Q137" i="1"/>
  <c r="O137" i="1"/>
  <c r="K137" i="1"/>
  <c r="I137" i="1"/>
  <c r="H137" i="1"/>
  <c r="G137" i="1"/>
  <c r="F137" i="1"/>
  <c r="E137" i="1"/>
  <c r="D137" i="1"/>
  <c r="AE136" i="1"/>
  <c r="AA136" i="1"/>
  <c r="Z136" i="1"/>
  <c r="Y136" i="1"/>
  <c r="X136" i="1"/>
  <c r="W136" i="1"/>
  <c r="V136" i="1"/>
  <c r="U136" i="1"/>
  <c r="T136" i="1"/>
  <c r="S136" i="1"/>
  <c r="R136" i="1"/>
  <c r="Q136" i="1"/>
  <c r="O136" i="1"/>
  <c r="K136" i="1"/>
  <c r="I136" i="1"/>
  <c r="H136" i="1"/>
  <c r="G136" i="1"/>
  <c r="F136" i="1"/>
  <c r="E136" i="1"/>
  <c r="D136" i="1"/>
  <c r="AE135" i="1"/>
  <c r="AA135" i="1"/>
  <c r="Z135" i="1"/>
  <c r="Y135" i="1"/>
  <c r="X135" i="1"/>
  <c r="W135" i="1"/>
  <c r="V135" i="1"/>
  <c r="U135" i="1"/>
  <c r="T135" i="1"/>
  <c r="S135" i="1"/>
  <c r="R135" i="1"/>
  <c r="Q135" i="1"/>
  <c r="O135" i="1"/>
  <c r="K135" i="1"/>
  <c r="I135" i="1"/>
  <c r="H135" i="1"/>
  <c r="G135" i="1"/>
  <c r="F135" i="1"/>
  <c r="E135" i="1"/>
  <c r="D135" i="1"/>
  <c r="AE134" i="1"/>
  <c r="AA134" i="1"/>
  <c r="Z134" i="1"/>
  <c r="Y134" i="1"/>
  <c r="X134" i="1"/>
  <c r="W134" i="1"/>
  <c r="V134" i="1"/>
  <c r="U134" i="1"/>
  <c r="T134" i="1"/>
  <c r="S134" i="1"/>
  <c r="R134" i="1"/>
  <c r="Q134" i="1"/>
  <c r="O134" i="1"/>
  <c r="K134" i="1"/>
  <c r="I134" i="1"/>
  <c r="H134" i="1"/>
  <c r="G134" i="1"/>
  <c r="F134" i="1"/>
  <c r="E134" i="1"/>
  <c r="D134" i="1"/>
  <c r="AE133" i="1"/>
  <c r="AA133" i="1"/>
  <c r="Z133" i="1"/>
  <c r="Y133" i="1"/>
  <c r="X133" i="1"/>
  <c r="W133" i="1"/>
  <c r="V133" i="1"/>
  <c r="U133" i="1"/>
  <c r="T133" i="1"/>
  <c r="S133" i="1"/>
  <c r="R133" i="1"/>
  <c r="Q133" i="1"/>
  <c r="O133" i="1"/>
  <c r="K133" i="1"/>
  <c r="I133" i="1"/>
  <c r="H133" i="1"/>
  <c r="G133" i="1"/>
  <c r="F133" i="1"/>
  <c r="E133" i="1"/>
  <c r="D133" i="1"/>
  <c r="AE132" i="1"/>
  <c r="AA132" i="1"/>
  <c r="Z132" i="1"/>
  <c r="Y132" i="1"/>
  <c r="X132" i="1"/>
  <c r="W132" i="1"/>
  <c r="V132" i="1"/>
  <c r="U132" i="1"/>
  <c r="T132" i="1"/>
  <c r="S132" i="1"/>
  <c r="R132" i="1"/>
  <c r="Q132" i="1"/>
  <c r="O132" i="1"/>
  <c r="K132" i="1"/>
  <c r="I132" i="1"/>
  <c r="H132" i="1"/>
  <c r="G132" i="1"/>
  <c r="F132" i="1"/>
  <c r="E132" i="1"/>
  <c r="D132" i="1"/>
  <c r="AE131" i="1"/>
  <c r="AA131" i="1"/>
  <c r="Z131" i="1"/>
  <c r="Y131" i="1"/>
  <c r="X131" i="1"/>
  <c r="W131" i="1"/>
  <c r="V131" i="1"/>
  <c r="U131" i="1"/>
  <c r="T131" i="1"/>
  <c r="S131" i="1"/>
  <c r="R131" i="1"/>
  <c r="Q131" i="1"/>
  <c r="O131" i="1"/>
  <c r="K131" i="1"/>
  <c r="I131" i="1"/>
  <c r="H131" i="1"/>
  <c r="G131" i="1"/>
  <c r="F131" i="1"/>
  <c r="E131" i="1"/>
  <c r="D131" i="1"/>
  <c r="AE130" i="1"/>
  <c r="AA130" i="1"/>
  <c r="Z130" i="1"/>
  <c r="Y130" i="1"/>
  <c r="X130" i="1"/>
  <c r="W130" i="1"/>
  <c r="V130" i="1"/>
  <c r="U130" i="1"/>
  <c r="T130" i="1"/>
  <c r="S130" i="1"/>
  <c r="R130" i="1"/>
  <c r="Q130" i="1"/>
  <c r="O130" i="1"/>
  <c r="K130" i="1"/>
  <c r="I130" i="1"/>
  <c r="H130" i="1"/>
  <c r="G130" i="1"/>
  <c r="F130" i="1"/>
  <c r="E130" i="1"/>
  <c r="D130" i="1"/>
  <c r="AE129" i="1"/>
  <c r="AA129" i="1"/>
  <c r="Z129" i="1"/>
  <c r="Y129" i="1"/>
  <c r="X129" i="1"/>
  <c r="W129" i="1"/>
  <c r="V129" i="1"/>
  <c r="U129" i="1"/>
  <c r="T129" i="1"/>
  <c r="S129" i="1"/>
  <c r="R129" i="1"/>
  <c r="Q129" i="1"/>
  <c r="O129" i="1"/>
  <c r="K129" i="1"/>
  <c r="I129" i="1"/>
  <c r="H129" i="1"/>
  <c r="G129" i="1"/>
  <c r="F129" i="1"/>
  <c r="E129" i="1"/>
  <c r="D129" i="1"/>
  <c r="AE128" i="1"/>
  <c r="AA128" i="1"/>
  <c r="Z128" i="1"/>
  <c r="Y128" i="1"/>
  <c r="X128" i="1"/>
  <c r="W128" i="1"/>
  <c r="V128" i="1"/>
  <c r="U128" i="1"/>
  <c r="T128" i="1"/>
  <c r="S128" i="1"/>
  <c r="R128" i="1"/>
  <c r="Q128" i="1"/>
  <c r="O128" i="1"/>
  <c r="K128" i="1"/>
  <c r="I128" i="1"/>
  <c r="H128" i="1"/>
  <c r="G128" i="1"/>
  <c r="F128" i="1"/>
  <c r="E128" i="1"/>
  <c r="D128" i="1"/>
  <c r="AE127" i="1"/>
  <c r="AA127" i="1"/>
  <c r="Z127" i="1"/>
  <c r="Y127" i="1"/>
  <c r="X127" i="1"/>
  <c r="W127" i="1"/>
  <c r="V127" i="1"/>
  <c r="U127" i="1"/>
  <c r="T127" i="1"/>
  <c r="S127" i="1"/>
  <c r="R127" i="1"/>
  <c r="Q127" i="1"/>
  <c r="O127" i="1"/>
  <c r="K127" i="1"/>
  <c r="I127" i="1"/>
  <c r="H127" i="1"/>
  <c r="G127" i="1"/>
  <c r="F127" i="1"/>
  <c r="E127" i="1"/>
  <c r="D127" i="1"/>
  <c r="AE126" i="1"/>
  <c r="AA126" i="1"/>
  <c r="Z126" i="1"/>
  <c r="Y126" i="1"/>
  <c r="X126" i="1"/>
  <c r="W126" i="1"/>
  <c r="V126" i="1"/>
  <c r="U126" i="1"/>
  <c r="T126" i="1"/>
  <c r="S126" i="1"/>
  <c r="R126" i="1"/>
  <c r="Q126" i="1"/>
  <c r="O126" i="1"/>
  <c r="K126" i="1"/>
  <c r="I126" i="1"/>
  <c r="H126" i="1"/>
  <c r="G126" i="1"/>
  <c r="F126" i="1"/>
  <c r="E126" i="1"/>
  <c r="D126" i="1"/>
  <c r="AE125" i="1"/>
  <c r="AA125" i="1"/>
  <c r="Z125" i="1"/>
  <c r="Y125" i="1"/>
  <c r="X125" i="1"/>
  <c r="W125" i="1"/>
  <c r="V125" i="1"/>
  <c r="U125" i="1"/>
  <c r="T125" i="1"/>
  <c r="S125" i="1"/>
  <c r="R125" i="1"/>
  <c r="Q125" i="1"/>
  <c r="O125" i="1"/>
  <c r="K125" i="1"/>
  <c r="I125" i="1"/>
  <c r="H125" i="1"/>
  <c r="G125" i="1"/>
  <c r="F125" i="1"/>
  <c r="E125" i="1"/>
  <c r="D125" i="1"/>
  <c r="AE124" i="1"/>
  <c r="AA124" i="1"/>
  <c r="Z124" i="1"/>
  <c r="Y124" i="1"/>
  <c r="X124" i="1"/>
  <c r="W124" i="1"/>
  <c r="V124" i="1"/>
  <c r="U124" i="1"/>
  <c r="T124" i="1"/>
  <c r="S124" i="1"/>
  <c r="R124" i="1"/>
  <c r="Q124" i="1"/>
  <c r="O124" i="1"/>
  <c r="K124" i="1"/>
  <c r="I124" i="1"/>
  <c r="H124" i="1"/>
  <c r="G124" i="1"/>
  <c r="F124" i="1"/>
  <c r="E124" i="1"/>
  <c r="D124" i="1"/>
  <c r="AE123" i="1"/>
  <c r="AA123" i="1"/>
  <c r="Z123" i="1"/>
  <c r="Y123" i="1"/>
  <c r="X123" i="1"/>
  <c r="W123" i="1"/>
  <c r="V123" i="1"/>
  <c r="U123" i="1"/>
  <c r="T123" i="1"/>
  <c r="S123" i="1"/>
  <c r="R123" i="1"/>
  <c r="Q123" i="1"/>
  <c r="O123" i="1"/>
  <c r="K123" i="1"/>
  <c r="I123" i="1"/>
  <c r="H123" i="1"/>
  <c r="G123" i="1"/>
  <c r="F123" i="1"/>
  <c r="E123" i="1"/>
  <c r="D123" i="1"/>
  <c r="AE122" i="1"/>
  <c r="AA122" i="1"/>
  <c r="Z122" i="1"/>
  <c r="Y122" i="1"/>
  <c r="X122" i="1"/>
  <c r="W122" i="1"/>
  <c r="V122" i="1"/>
  <c r="U122" i="1"/>
  <c r="T122" i="1"/>
  <c r="S122" i="1"/>
  <c r="R122" i="1"/>
  <c r="Q122" i="1"/>
  <c r="O122" i="1"/>
  <c r="K122" i="1"/>
  <c r="I122" i="1"/>
  <c r="H122" i="1"/>
  <c r="G122" i="1"/>
  <c r="F122" i="1"/>
  <c r="E122" i="1"/>
  <c r="D122" i="1"/>
  <c r="AE121" i="1"/>
  <c r="AA121" i="1"/>
  <c r="Z121" i="1"/>
  <c r="Y121" i="1"/>
  <c r="X121" i="1"/>
  <c r="W121" i="1"/>
  <c r="V121" i="1"/>
  <c r="U121" i="1"/>
  <c r="T121" i="1"/>
  <c r="S121" i="1"/>
  <c r="R121" i="1"/>
  <c r="Q121" i="1"/>
  <c r="O121" i="1"/>
  <c r="K121" i="1"/>
  <c r="I121" i="1"/>
  <c r="H121" i="1"/>
  <c r="G121" i="1"/>
  <c r="F121" i="1"/>
  <c r="E121" i="1"/>
  <c r="D121" i="1"/>
  <c r="AE120" i="1"/>
  <c r="AA120" i="1"/>
  <c r="Z120" i="1"/>
  <c r="Y120" i="1"/>
  <c r="X120" i="1"/>
  <c r="W120" i="1"/>
  <c r="V120" i="1"/>
  <c r="U120" i="1"/>
  <c r="T120" i="1"/>
  <c r="S120" i="1"/>
  <c r="R120" i="1"/>
  <c r="Q120" i="1"/>
  <c r="O120" i="1"/>
  <c r="K120" i="1"/>
  <c r="I120" i="1"/>
  <c r="H120" i="1"/>
  <c r="G120" i="1"/>
  <c r="F120" i="1"/>
  <c r="E120" i="1"/>
  <c r="D120" i="1"/>
  <c r="AE119" i="1"/>
  <c r="AA119" i="1"/>
  <c r="Z119" i="1"/>
  <c r="Y119" i="1"/>
  <c r="X119" i="1"/>
  <c r="W119" i="1"/>
  <c r="V119" i="1"/>
  <c r="U119" i="1"/>
  <c r="T119" i="1"/>
  <c r="S119" i="1"/>
  <c r="R119" i="1"/>
  <c r="Q119" i="1"/>
  <c r="O119" i="1"/>
  <c r="K119" i="1"/>
  <c r="I119" i="1"/>
  <c r="H119" i="1"/>
  <c r="G119" i="1"/>
  <c r="F119" i="1"/>
  <c r="E119" i="1"/>
  <c r="D119" i="1"/>
  <c r="AE118" i="1"/>
  <c r="AA118" i="1"/>
  <c r="Z118" i="1"/>
  <c r="Y118" i="1"/>
  <c r="X118" i="1"/>
  <c r="W118" i="1"/>
  <c r="V118" i="1"/>
  <c r="U118" i="1"/>
  <c r="T118" i="1"/>
  <c r="S118" i="1"/>
  <c r="R118" i="1"/>
  <c r="Q118" i="1"/>
  <c r="O118" i="1"/>
  <c r="K118" i="1"/>
  <c r="I118" i="1"/>
  <c r="H118" i="1"/>
  <c r="G118" i="1"/>
  <c r="F118" i="1"/>
  <c r="E118" i="1"/>
  <c r="D118" i="1"/>
  <c r="AE117" i="1"/>
  <c r="AA117" i="1"/>
  <c r="Z117" i="1"/>
  <c r="Y117" i="1"/>
  <c r="X117" i="1"/>
  <c r="W117" i="1"/>
  <c r="V117" i="1"/>
  <c r="U117" i="1"/>
  <c r="T117" i="1"/>
  <c r="S117" i="1"/>
  <c r="R117" i="1"/>
  <c r="Q117" i="1"/>
  <c r="O117" i="1"/>
  <c r="K117" i="1"/>
  <c r="I117" i="1"/>
  <c r="H117" i="1"/>
  <c r="G117" i="1"/>
  <c r="F117" i="1"/>
  <c r="E117" i="1"/>
  <c r="D117" i="1"/>
  <c r="AE116" i="1"/>
  <c r="AA116" i="1"/>
  <c r="Z116" i="1"/>
  <c r="Y116" i="1"/>
  <c r="X116" i="1"/>
  <c r="W116" i="1"/>
  <c r="V116" i="1"/>
  <c r="U116" i="1"/>
  <c r="T116" i="1"/>
  <c r="S116" i="1"/>
  <c r="R116" i="1"/>
  <c r="Q116" i="1"/>
  <c r="O116" i="1"/>
  <c r="K116" i="1"/>
  <c r="I116" i="1"/>
  <c r="H116" i="1"/>
  <c r="G116" i="1"/>
  <c r="F116" i="1"/>
  <c r="E116" i="1"/>
  <c r="D116" i="1"/>
  <c r="AE115" i="1"/>
  <c r="AA115" i="1"/>
  <c r="Z115" i="1"/>
  <c r="Y115" i="1"/>
  <c r="X115" i="1"/>
  <c r="W115" i="1"/>
  <c r="V115" i="1"/>
  <c r="U115" i="1"/>
  <c r="T115" i="1"/>
  <c r="S115" i="1"/>
  <c r="R115" i="1"/>
  <c r="Q115" i="1"/>
  <c r="O115" i="1"/>
  <c r="K115" i="1"/>
  <c r="I115" i="1"/>
  <c r="H115" i="1"/>
  <c r="G115" i="1"/>
  <c r="F115" i="1"/>
  <c r="E115" i="1"/>
  <c r="D115" i="1"/>
  <c r="AE114" i="1"/>
  <c r="AA114" i="1"/>
  <c r="Z114" i="1"/>
  <c r="Y114" i="1"/>
  <c r="X114" i="1"/>
  <c r="W114" i="1"/>
  <c r="V114" i="1"/>
  <c r="U114" i="1"/>
  <c r="T114" i="1"/>
  <c r="S114" i="1"/>
  <c r="R114" i="1"/>
  <c r="Q114" i="1"/>
  <c r="O114" i="1"/>
  <c r="K114" i="1"/>
  <c r="I114" i="1"/>
  <c r="H114" i="1"/>
  <c r="G114" i="1"/>
  <c r="F114" i="1"/>
  <c r="E114" i="1"/>
  <c r="D114" i="1"/>
  <c r="AE113" i="1"/>
  <c r="AA113" i="1"/>
  <c r="Z113" i="1"/>
  <c r="Y113" i="1"/>
  <c r="X113" i="1"/>
  <c r="W113" i="1"/>
  <c r="V113" i="1"/>
  <c r="U113" i="1"/>
  <c r="T113" i="1"/>
  <c r="S113" i="1"/>
  <c r="R113" i="1"/>
  <c r="Q113" i="1"/>
  <c r="O113" i="1"/>
  <c r="K113" i="1"/>
  <c r="I113" i="1"/>
  <c r="H113" i="1"/>
  <c r="G113" i="1"/>
  <c r="F113" i="1"/>
  <c r="E113" i="1"/>
  <c r="D113" i="1"/>
  <c r="AE112" i="1"/>
  <c r="AA112" i="1"/>
  <c r="Z112" i="1"/>
  <c r="Y112" i="1"/>
  <c r="X112" i="1"/>
  <c r="W112" i="1"/>
  <c r="V112" i="1"/>
  <c r="U112" i="1"/>
  <c r="T112" i="1"/>
  <c r="S112" i="1"/>
  <c r="R112" i="1"/>
  <c r="Q112" i="1"/>
  <c r="O112" i="1"/>
  <c r="K112" i="1"/>
  <c r="I112" i="1"/>
  <c r="H112" i="1"/>
  <c r="G112" i="1"/>
  <c r="F112" i="1"/>
  <c r="E112" i="1"/>
  <c r="D112" i="1"/>
  <c r="AE111" i="1"/>
  <c r="AA111" i="1"/>
  <c r="Z111" i="1"/>
  <c r="Y111" i="1"/>
  <c r="X111" i="1"/>
  <c r="W111" i="1"/>
  <c r="V111" i="1"/>
  <c r="U111" i="1"/>
  <c r="T111" i="1"/>
  <c r="S111" i="1"/>
  <c r="R111" i="1"/>
  <c r="Q111" i="1"/>
  <c r="O111" i="1"/>
  <c r="K111" i="1"/>
  <c r="I111" i="1"/>
  <c r="H111" i="1"/>
  <c r="G111" i="1"/>
  <c r="F111" i="1"/>
  <c r="E111" i="1"/>
  <c r="D111" i="1"/>
  <c r="AE110" i="1"/>
  <c r="AA110" i="1"/>
  <c r="Z110" i="1"/>
  <c r="Y110" i="1"/>
  <c r="X110" i="1"/>
  <c r="W110" i="1"/>
  <c r="V110" i="1"/>
  <c r="U110" i="1"/>
  <c r="T110" i="1"/>
  <c r="S110" i="1"/>
  <c r="R110" i="1"/>
  <c r="Q110" i="1"/>
  <c r="O110" i="1"/>
  <c r="K110" i="1"/>
  <c r="I110" i="1"/>
  <c r="H110" i="1"/>
  <c r="G110" i="1"/>
  <c r="F110" i="1"/>
  <c r="E110" i="1"/>
  <c r="D110" i="1"/>
  <c r="AE109" i="1"/>
  <c r="AA109" i="1"/>
  <c r="Z109" i="1"/>
  <c r="Y109" i="1"/>
  <c r="X109" i="1"/>
  <c r="W109" i="1"/>
  <c r="V109" i="1"/>
  <c r="U109" i="1"/>
  <c r="T109" i="1"/>
  <c r="S109" i="1"/>
  <c r="R109" i="1"/>
  <c r="Q109" i="1"/>
  <c r="O109" i="1"/>
  <c r="K109" i="1"/>
  <c r="I109" i="1"/>
  <c r="H109" i="1"/>
  <c r="G109" i="1"/>
  <c r="F109" i="1"/>
  <c r="E109" i="1"/>
  <c r="D109" i="1"/>
  <c r="AE108" i="1"/>
  <c r="AA108" i="1"/>
  <c r="Z108" i="1"/>
  <c r="Y108" i="1"/>
  <c r="X108" i="1"/>
  <c r="W108" i="1"/>
  <c r="V108" i="1"/>
  <c r="U108" i="1"/>
  <c r="T108" i="1"/>
  <c r="S108" i="1"/>
  <c r="R108" i="1"/>
  <c r="Q108" i="1"/>
  <c r="O108" i="1"/>
  <c r="K108" i="1"/>
  <c r="I108" i="1"/>
  <c r="H108" i="1"/>
  <c r="G108" i="1"/>
  <c r="F108" i="1"/>
  <c r="E108" i="1"/>
  <c r="D108" i="1"/>
  <c r="AE107" i="1"/>
  <c r="AA107" i="1"/>
  <c r="Z107" i="1"/>
  <c r="Y107" i="1"/>
  <c r="X107" i="1"/>
  <c r="W107" i="1"/>
  <c r="V107" i="1"/>
  <c r="U107" i="1"/>
  <c r="T107" i="1"/>
  <c r="S107" i="1"/>
  <c r="R107" i="1"/>
  <c r="Q107" i="1"/>
  <c r="O107" i="1"/>
  <c r="K107" i="1"/>
  <c r="I107" i="1"/>
  <c r="H107" i="1"/>
  <c r="G107" i="1"/>
  <c r="F107" i="1"/>
  <c r="E107" i="1"/>
  <c r="D107" i="1"/>
  <c r="AE106" i="1"/>
  <c r="AA106" i="1"/>
  <c r="Z106" i="1"/>
  <c r="Y106" i="1"/>
  <c r="X106" i="1"/>
  <c r="W106" i="1"/>
  <c r="V106" i="1"/>
  <c r="U106" i="1"/>
  <c r="T106" i="1"/>
  <c r="S106" i="1"/>
  <c r="R106" i="1"/>
  <c r="Q106" i="1"/>
  <c r="O106" i="1"/>
  <c r="K106" i="1"/>
  <c r="I106" i="1"/>
  <c r="H106" i="1"/>
  <c r="G106" i="1"/>
  <c r="F106" i="1"/>
  <c r="E106" i="1"/>
  <c r="D106" i="1"/>
  <c r="AE105" i="1"/>
  <c r="AA105" i="1"/>
  <c r="Z105" i="1"/>
  <c r="Y105" i="1"/>
  <c r="X105" i="1"/>
  <c r="W105" i="1"/>
  <c r="V105" i="1"/>
  <c r="U105" i="1"/>
  <c r="T105" i="1"/>
  <c r="S105" i="1"/>
  <c r="R105" i="1"/>
  <c r="Q105" i="1"/>
  <c r="O105" i="1"/>
  <c r="K105" i="1"/>
  <c r="I105" i="1"/>
  <c r="H105" i="1"/>
  <c r="G105" i="1"/>
  <c r="F105" i="1"/>
  <c r="E105" i="1"/>
  <c r="D105" i="1"/>
  <c r="AE104" i="1"/>
  <c r="AA104" i="1"/>
  <c r="Z104" i="1"/>
  <c r="Y104" i="1"/>
  <c r="X104" i="1"/>
  <c r="W104" i="1"/>
  <c r="V104" i="1"/>
  <c r="U104" i="1"/>
  <c r="T104" i="1"/>
  <c r="S104" i="1"/>
  <c r="R104" i="1"/>
  <c r="Q104" i="1"/>
  <c r="O104" i="1"/>
  <c r="K104" i="1"/>
  <c r="I104" i="1"/>
  <c r="H104" i="1"/>
  <c r="G104" i="1"/>
  <c r="F104" i="1"/>
  <c r="E104" i="1"/>
  <c r="D104" i="1"/>
  <c r="AE103" i="1"/>
  <c r="AA103" i="1"/>
  <c r="Z103" i="1"/>
  <c r="Y103" i="1"/>
  <c r="X103" i="1"/>
  <c r="W103" i="1"/>
  <c r="V103" i="1"/>
  <c r="U103" i="1"/>
  <c r="T103" i="1"/>
  <c r="S103" i="1"/>
  <c r="R103" i="1"/>
  <c r="Q103" i="1"/>
  <c r="O103" i="1"/>
  <c r="K103" i="1"/>
  <c r="I103" i="1"/>
  <c r="H103" i="1"/>
  <c r="G103" i="1"/>
  <c r="F103" i="1"/>
  <c r="E103" i="1"/>
  <c r="D103" i="1"/>
  <c r="AE102" i="1"/>
  <c r="AA102" i="1"/>
  <c r="Z102" i="1"/>
  <c r="Y102" i="1"/>
  <c r="X102" i="1"/>
  <c r="W102" i="1"/>
  <c r="V102" i="1"/>
  <c r="U102" i="1"/>
  <c r="T102" i="1"/>
  <c r="S102" i="1"/>
  <c r="R102" i="1"/>
  <c r="Q102" i="1"/>
  <c r="O102" i="1"/>
  <c r="K102" i="1"/>
  <c r="I102" i="1"/>
  <c r="H102" i="1"/>
  <c r="G102" i="1"/>
  <c r="F102" i="1"/>
  <c r="E102" i="1"/>
  <c r="D102" i="1"/>
  <c r="AE101" i="1"/>
  <c r="AA101" i="1"/>
  <c r="Z101" i="1"/>
  <c r="Y101" i="1"/>
  <c r="X101" i="1"/>
  <c r="W101" i="1"/>
  <c r="V101" i="1"/>
  <c r="U101" i="1"/>
  <c r="T101" i="1"/>
  <c r="S101" i="1"/>
  <c r="R101" i="1"/>
  <c r="Q101" i="1"/>
  <c r="O101" i="1"/>
  <c r="K101" i="1"/>
  <c r="I101" i="1"/>
  <c r="H101" i="1"/>
  <c r="G101" i="1"/>
  <c r="F101" i="1"/>
  <c r="E101" i="1"/>
  <c r="D101" i="1"/>
  <c r="AE100" i="1"/>
  <c r="AA100" i="1"/>
  <c r="Z100" i="1"/>
  <c r="Y100" i="1"/>
  <c r="X100" i="1"/>
  <c r="W100" i="1"/>
  <c r="V100" i="1"/>
  <c r="U100" i="1"/>
  <c r="T100" i="1"/>
  <c r="S100" i="1"/>
  <c r="R100" i="1"/>
  <c r="Q100" i="1"/>
  <c r="O100" i="1"/>
  <c r="K100" i="1"/>
  <c r="I100" i="1"/>
  <c r="H100" i="1"/>
  <c r="G100" i="1"/>
  <c r="F100" i="1"/>
  <c r="E100" i="1"/>
  <c r="D100" i="1"/>
  <c r="AE99" i="1"/>
  <c r="AA99" i="1"/>
  <c r="Z99" i="1"/>
  <c r="Y99" i="1"/>
  <c r="X99" i="1"/>
  <c r="W99" i="1"/>
  <c r="V99" i="1"/>
  <c r="U99" i="1"/>
  <c r="T99" i="1"/>
  <c r="S99" i="1"/>
  <c r="R99" i="1"/>
  <c r="Q99" i="1"/>
  <c r="O99" i="1"/>
  <c r="K99" i="1"/>
  <c r="I99" i="1"/>
  <c r="H99" i="1"/>
  <c r="G99" i="1"/>
  <c r="F99" i="1"/>
  <c r="E99" i="1"/>
  <c r="D99" i="1"/>
  <c r="AE98" i="1"/>
  <c r="AA98" i="1"/>
  <c r="Z98" i="1"/>
  <c r="Y98" i="1"/>
  <c r="X98" i="1"/>
  <c r="W98" i="1"/>
  <c r="V98" i="1"/>
  <c r="U98" i="1"/>
  <c r="T98" i="1"/>
  <c r="S98" i="1"/>
  <c r="R98" i="1"/>
  <c r="Q98" i="1"/>
  <c r="O98" i="1"/>
  <c r="K98" i="1"/>
  <c r="I98" i="1"/>
  <c r="H98" i="1"/>
  <c r="G98" i="1"/>
  <c r="F98" i="1"/>
  <c r="E98" i="1"/>
  <c r="D98" i="1"/>
  <c r="AE97" i="1"/>
  <c r="AA97" i="1"/>
  <c r="Z97" i="1"/>
  <c r="Y97" i="1"/>
  <c r="X97" i="1"/>
  <c r="W97" i="1"/>
  <c r="V97" i="1"/>
  <c r="U97" i="1"/>
  <c r="T97" i="1"/>
  <c r="S97" i="1"/>
  <c r="R97" i="1"/>
  <c r="Q97" i="1"/>
  <c r="O97" i="1"/>
  <c r="K97" i="1"/>
  <c r="I97" i="1"/>
  <c r="H97" i="1"/>
  <c r="G97" i="1"/>
  <c r="F97" i="1"/>
  <c r="E97" i="1"/>
  <c r="D97" i="1"/>
  <c r="AE96" i="1"/>
  <c r="AA96" i="1"/>
  <c r="Z96" i="1"/>
  <c r="Y96" i="1"/>
  <c r="X96" i="1"/>
  <c r="W96" i="1"/>
  <c r="V96" i="1"/>
  <c r="U96" i="1"/>
  <c r="T96" i="1"/>
  <c r="S96" i="1"/>
  <c r="R96" i="1"/>
  <c r="Q96" i="1"/>
  <c r="O96" i="1"/>
  <c r="K96" i="1"/>
  <c r="I96" i="1"/>
  <c r="H96" i="1"/>
  <c r="G96" i="1"/>
  <c r="F96" i="1"/>
  <c r="E96" i="1"/>
  <c r="D96" i="1"/>
  <c r="AE95" i="1"/>
  <c r="AA95" i="1"/>
  <c r="Z95" i="1"/>
  <c r="Y95" i="1"/>
  <c r="X95" i="1"/>
  <c r="W95" i="1"/>
  <c r="V95" i="1"/>
  <c r="U95" i="1"/>
  <c r="T95" i="1"/>
  <c r="S95" i="1"/>
  <c r="R95" i="1"/>
  <c r="Q95" i="1"/>
  <c r="O95" i="1"/>
  <c r="K95" i="1"/>
  <c r="I95" i="1"/>
  <c r="H95" i="1"/>
  <c r="G95" i="1"/>
  <c r="F95" i="1"/>
  <c r="E95" i="1"/>
  <c r="D95" i="1"/>
  <c r="AE94" i="1"/>
  <c r="AA94" i="1"/>
  <c r="Z94" i="1"/>
  <c r="Y94" i="1"/>
  <c r="X94" i="1"/>
  <c r="W94" i="1"/>
  <c r="V94" i="1"/>
  <c r="U94" i="1"/>
  <c r="T94" i="1"/>
  <c r="S94" i="1"/>
  <c r="R94" i="1"/>
  <c r="Q94" i="1"/>
  <c r="O94" i="1"/>
  <c r="K94" i="1"/>
  <c r="I94" i="1"/>
  <c r="H94" i="1"/>
  <c r="G94" i="1"/>
  <c r="F94" i="1"/>
  <c r="E94" i="1"/>
  <c r="D94" i="1"/>
  <c r="AE93" i="1"/>
  <c r="AA93" i="1"/>
  <c r="Z93" i="1"/>
  <c r="Y93" i="1"/>
  <c r="X93" i="1"/>
  <c r="W93" i="1"/>
  <c r="V93" i="1"/>
  <c r="U93" i="1"/>
  <c r="T93" i="1"/>
  <c r="S93" i="1"/>
  <c r="R93" i="1"/>
  <c r="Q93" i="1"/>
  <c r="O93" i="1"/>
  <c r="K93" i="1"/>
  <c r="I93" i="1"/>
  <c r="H93" i="1"/>
  <c r="G93" i="1"/>
  <c r="F93" i="1"/>
  <c r="E93" i="1"/>
  <c r="D93" i="1"/>
  <c r="AE92" i="1"/>
  <c r="AA92" i="1"/>
  <c r="Z92" i="1"/>
  <c r="Y92" i="1"/>
  <c r="X92" i="1"/>
  <c r="W92" i="1"/>
  <c r="V92" i="1"/>
  <c r="U92" i="1"/>
  <c r="T92" i="1"/>
  <c r="S92" i="1"/>
  <c r="R92" i="1"/>
  <c r="Q92" i="1"/>
  <c r="O92" i="1"/>
  <c r="K92" i="1"/>
  <c r="I92" i="1"/>
  <c r="H92" i="1"/>
  <c r="G92" i="1"/>
  <c r="F92" i="1"/>
  <c r="E92" i="1"/>
  <c r="D92" i="1"/>
  <c r="AE91" i="1"/>
  <c r="AA91" i="1"/>
  <c r="Z91" i="1"/>
  <c r="Y91" i="1"/>
  <c r="X91" i="1"/>
  <c r="W91" i="1"/>
  <c r="V91" i="1"/>
  <c r="U91" i="1"/>
  <c r="T91" i="1"/>
  <c r="S91" i="1"/>
  <c r="R91" i="1"/>
  <c r="Q91" i="1"/>
  <c r="O91" i="1"/>
  <c r="K91" i="1"/>
  <c r="I91" i="1"/>
  <c r="H91" i="1"/>
  <c r="G91" i="1"/>
  <c r="F91" i="1"/>
  <c r="E91" i="1"/>
  <c r="D91" i="1"/>
  <c r="AE90" i="1"/>
  <c r="AA90" i="1"/>
  <c r="Z90" i="1"/>
  <c r="Y90" i="1"/>
  <c r="X90" i="1"/>
  <c r="W90" i="1"/>
  <c r="V90" i="1"/>
  <c r="U90" i="1"/>
  <c r="T90" i="1"/>
  <c r="S90" i="1"/>
  <c r="R90" i="1"/>
  <c r="Q90" i="1"/>
  <c r="O90" i="1"/>
  <c r="K90" i="1"/>
  <c r="I90" i="1"/>
  <c r="H90" i="1"/>
  <c r="G90" i="1"/>
  <c r="F90" i="1"/>
  <c r="E90" i="1"/>
  <c r="D90" i="1"/>
  <c r="AE89" i="1"/>
  <c r="AA89" i="1"/>
  <c r="Z89" i="1"/>
  <c r="Y89" i="1"/>
  <c r="X89" i="1"/>
  <c r="W89" i="1"/>
  <c r="V89" i="1"/>
  <c r="U89" i="1"/>
  <c r="T89" i="1"/>
  <c r="S89" i="1"/>
  <c r="R89" i="1"/>
  <c r="Q89" i="1"/>
  <c r="O89" i="1"/>
  <c r="K89" i="1"/>
  <c r="I89" i="1"/>
  <c r="H89" i="1"/>
  <c r="G89" i="1"/>
  <c r="F89" i="1"/>
  <c r="E89" i="1"/>
  <c r="D89" i="1"/>
  <c r="AE88" i="1"/>
  <c r="AA88" i="1"/>
  <c r="Z88" i="1"/>
  <c r="Y88" i="1"/>
  <c r="X88" i="1"/>
  <c r="W88" i="1"/>
  <c r="V88" i="1"/>
  <c r="U88" i="1"/>
  <c r="T88" i="1"/>
  <c r="S88" i="1"/>
  <c r="R88" i="1"/>
  <c r="Q88" i="1"/>
  <c r="O88" i="1"/>
  <c r="K88" i="1"/>
  <c r="I88" i="1"/>
  <c r="H88" i="1"/>
  <c r="G88" i="1"/>
  <c r="F88" i="1"/>
  <c r="E88" i="1"/>
  <c r="D88" i="1"/>
  <c r="AE87" i="1"/>
  <c r="AA87" i="1"/>
  <c r="Z87" i="1"/>
  <c r="Y87" i="1"/>
  <c r="X87" i="1"/>
  <c r="W87" i="1"/>
  <c r="V87" i="1"/>
  <c r="U87" i="1"/>
  <c r="T87" i="1"/>
  <c r="S87" i="1"/>
  <c r="R87" i="1"/>
  <c r="Q87" i="1"/>
  <c r="O87" i="1"/>
  <c r="K87" i="1"/>
  <c r="I87" i="1"/>
  <c r="H87" i="1"/>
  <c r="G87" i="1"/>
  <c r="F87" i="1"/>
  <c r="E87" i="1"/>
  <c r="D87" i="1"/>
  <c r="AE86" i="1"/>
  <c r="AA86" i="1"/>
  <c r="Z86" i="1"/>
  <c r="Y86" i="1"/>
  <c r="X86" i="1"/>
  <c r="W86" i="1"/>
  <c r="V86" i="1"/>
  <c r="U86" i="1"/>
  <c r="T86" i="1"/>
  <c r="S86" i="1"/>
  <c r="R86" i="1"/>
  <c r="Q86" i="1"/>
  <c r="O86" i="1"/>
  <c r="K86" i="1"/>
  <c r="I86" i="1"/>
  <c r="H86" i="1"/>
  <c r="G86" i="1"/>
  <c r="F86" i="1"/>
  <c r="E86" i="1"/>
  <c r="D86" i="1"/>
  <c r="AE85" i="1"/>
  <c r="AA85" i="1"/>
  <c r="Z85" i="1"/>
  <c r="Y85" i="1"/>
  <c r="X85" i="1"/>
  <c r="W85" i="1"/>
  <c r="V85" i="1"/>
  <c r="U85" i="1"/>
  <c r="T85" i="1"/>
  <c r="S85" i="1"/>
  <c r="R85" i="1"/>
  <c r="Q85" i="1"/>
  <c r="O85" i="1"/>
  <c r="K85" i="1"/>
  <c r="I85" i="1"/>
  <c r="H85" i="1"/>
  <c r="G85" i="1"/>
  <c r="F85" i="1"/>
  <c r="E85" i="1"/>
  <c r="D85" i="1"/>
  <c r="AE84" i="1"/>
  <c r="AA84" i="1"/>
  <c r="Z84" i="1"/>
  <c r="Y84" i="1"/>
  <c r="X84" i="1"/>
  <c r="W84" i="1"/>
  <c r="V84" i="1"/>
  <c r="U84" i="1"/>
  <c r="T84" i="1"/>
  <c r="S84" i="1"/>
  <c r="R84" i="1"/>
  <c r="Q84" i="1"/>
  <c r="O84" i="1"/>
  <c r="K84" i="1"/>
  <c r="I84" i="1"/>
  <c r="H84" i="1"/>
  <c r="G84" i="1"/>
  <c r="F84" i="1"/>
  <c r="E84" i="1"/>
  <c r="D84" i="1"/>
  <c r="AE83" i="1"/>
  <c r="AA83" i="1"/>
  <c r="Z83" i="1"/>
  <c r="Y83" i="1"/>
  <c r="X83" i="1"/>
  <c r="W83" i="1"/>
  <c r="V83" i="1"/>
  <c r="U83" i="1"/>
  <c r="T83" i="1"/>
  <c r="S83" i="1"/>
  <c r="R83" i="1"/>
  <c r="Q83" i="1"/>
  <c r="O83" i="1"/>
  <c r="K83" i="1"/>
  <c r="I83" i="1"/>
  <c r="H83" i="1"/>
  <c r="G83" i="1"/>
  <c r="F83" i="1"/>
  <c r="E83" i="1"/>
  <c r="D83" i="1"/>
  <c r="AE82" i="1"/>
  <c r="AA82" i="1"/>
  <c r="Z82" i="1"/>
  <c r="Y82" i="1"/>
  <c r="X82" i="1"/>
  <c r="W82" i="1"/>
  <c r="V82" i="1"/>
  <c r="U82" i="1"/>
  <c r="T82" i="1"/>
  <c r="S82" i="1"/>
  <c r="R82" i="1"/>
  <c r="Q82" i="1"/>
  <c r="O82" i="1"/>
  <c r="K82" i="1"/>
  <c r="I82" i="1"/>
  <c r="H82" i="1"/>
  <c r="G82" i="1"/>
  <c r="F82" i="1"/>
  <c r="E82" i="1"/>
  <c r="D82" i="1"/>
  <c r="AE81" i="1"/>
  <c r="AA81" i="1"/>
  <c r="Z81" i="1"/>
  <c r="Y81" i="1"/>
  <c r="X81" i="1"/>
  <c r="W81" i="1"/>
  <c r="V81" i="1"/>
  <c r="U81" i="1"/>
  <c r="T81" i="1"/>
  <c r="S81" i="1"/>
  <c r="R81" i="1"/>
  <c r="Q81" i="1"/>
  <c r="O81" i="1"/>
  <c r="K81" i="1"/>
  <c r="I81" i="1"/>
  <c r="H81" i="1"/>
  <c r="G81" i="1"/>
  <c r="F81" i="1"/>
  <c r="E81" i="1"/>
  <c r="D81" i="1"/>
  <c r="AE80" i="1"/>
  <c r="AA80" i="1"/>
  <c r="Z80" i="1"/>
  <c r="Y80" i="1"/>
  <c r="X80" i="1"/>
  <c r="W80" i="1"/>
  <c r="V80" i="1"/>
  <c r="U80" i="1"/>
  <c r="T80" i="1"/>
  <c r="S80" i="1"/>
  <c r="R80" i="1"/>
  <c r="Q80" i="1"/>
  <c r="O80" i="1"/>
  <c r="K80" i="1"/>
  <c r="I80" i="1"/>
  <c r="H80" i="1"/>
  <c r="G80" i="1"/>
  <c r="F80" i="1"/>
  <c r="E80" i="1"/>
  <c r="D80" i="1"/>
  <c r="AE79" i="1"/>
  <c r="AA79" i="1"/>
  <c r="Z79" i="1"/>
  <c r="Y79" i="1"/>
  <c r="X79" i="1"/>
  <c r="W79" i="1"/>
  <c r="V79" i="1"/>
  <c r="U79" i="1"/>
  <c r="T79" i="1"/>
  <c r="S79" i="1"/>
  <c r="R79" i="1"/>
  <c r="Q79" i="1"/>
  <c r="O79" i="1"/>
  <c r="K79" i="1"/>
  <c r="I79" i="1"/>
  <c r="H79" i="1"/>
  <c r="G79" i="1"/>
  <c r="F79" i="1"/>
  <c r="E79" i="1"/>
  <c r="D79" i="1"/>
  <c r="AE78" i="1"/>
  <c r="AA78" i="1"/>
  <c r="Z78" i="1"/>
  <c r="Y78" i="1"/>
  <c r="X78" i="1"/>
  <c r="W78" i="1"/>
  <c r="V78" i="1"/>
  <c r="U78" i="1"/>
  <c r="T78" i="1"/>
  <c r="S78" i="1"/>
  <c r="R78" i="1"/>
  <c r="Q78" i="1"/>
  <c r="O78" i="1"/>
  <c r="K78" i="1"/>
  <c r="I78" i="1"/>
  <c r="H78" i="1"/>
  <c r="G78" i="1"/>
  <c r="F78" i="1"/>
  <c r="E78" i="1"/>
  <c r="D78" i="1"/>
  <c r="AE77" i="1"/>
  <c r="AA77" i="1"/>
  <c r="Z77" i="1"/>
  <c r="Y77" i="1"/>
  <c r="X77" i="1"/>
  <c r="W77" i="1"/>
  <c r="V77" i="1"/>
  <c r="U77" i="1"/>
  <c r="T77" i="1"/>
  <c r="S77" i="1"/>
  <c r="R77" i="1"/>
  <c r="Q77" i="1"/>
  <c r="O77" i="1"/>
  <c r="K77" i="1"/>
  <c r="I77" i="1"/>
  <c r="H77" i="1"/>
  <c r="G77" i="1"/>
  <c r="F77" i="1"/>
  <c r="E77" i="1"/>
  <c r="D77" i="1"/>
  <c r="AE76" i="1"/>
  <c r="AA76" i="1"/>
  <c r="Z76" i="1"/>
  <c r="Y76" i="1"/>
  <c r="X76" i="1"/>
  <c r="W76" i="1"/>
  <c r="V76" i="1"/>
  <c r="U76" i="1"/>
  <c r="T76" i="1"/>
  <c r="S76" i="1"/>
  <c r="R76" i="1"/>
  <c r="Q76" i="1"/>
  <c r="O76" i="1"/>
  <c r="K76" i="1"/>
  <c r="I76" i="1"/>
  <c r="H76" i="1"/>
  <c r="G76" i="1"/>
  <c r="F76" i="1"/>
  <c r="E76" i="1"/>
  <c r="D76" i="1"/>
  <c r="AE75" i="1"/>
  <c r="AA75" i="1"/>
  <c r="Z75" i="1"/>
  <c r="Y75" i="1"/>
  <c r="X75" i="1"/>
  <c r="W75" i="1"/>
  <c r="V75" i="1"/>
  <c r="U75" i="1"/>
  <c r="T75" i="1"/>
  <c r="S75" i="1"/>
  <c r="R75" i="1"/>
  <c r="Q75" i="1"/>
  <c r="O75" i="1"/>
  <c r="K75" i="1"/>
  <c r="I75" i="1"/>
  <c r="H75" i="1"/>
  <c r="G75" i="1"/>
  <c r="F75" i="1"/>
  <c r="E75" i="1"/>
  <c r="D75" i="1"/>
  <c r="AE74" i="1"/>
  <c r="AA74" i="1"/>
  <c r="Z74" i="1"/>
  <c r="Y74" i="1"/>
  <c r="X74" i="1"/>
  <c r="W74" i="1"/>
  <c r="V74" i="1"/>
  <c r="U74" i="1"/>
  <c r="T74" i="1"/>
  <c r="S74" i="1"/>
  <c r="R74" i="1"/>
  <c r="Q74" i="1"/>
  <c r="O74" i="1"/>
  <c r="K74" i="1"/>
  <c r="I74" i="1"/>
  <c r="H74" i="1"/>
  <c r="G74" i="1"/>
  <c r="F74" i="1"/>
  <c r="E74" i="1"/>
  <c r="D74" i="1"/>
  <c r="AE73" i="1"/>
  <c r="AA73" i="1"/>
  <c r="Z73" i="1"/>
  <c r="Y73" i="1"/>
  <c r="X73" i="1"/>
  <c r="W73" i="1"/>
  <c r="V73" i="1"/>
  <c r="U73" i="1"/>
  <c r="T73" i="1"/>
  <c r="S73" i="1"/>
  <c r="R73" i="1"/>
  <c r="Q73" i="1"/>
  <c r="O73" i="1"/>
  <c r="K73" i="1"/>
  <c r="I73" i="1"/>
  <c r="H73" i="1"/>
  <c r="G73" i="1"/>
  <c r="F73" i="1"/>
  <c r="E73" i="1"/>
  <c r="D73" i="1"/>
  <c r="AE72" i="1"/>
  <c r="AA72" i="1"/>
  <c r="Z72" i="1"/>
  <c r="Y72" i="1"/>
  <c r="X72" i="1"/>
  <c r="W72" i="1"/>
  <c r="V72" i="1"/>
  <c r="U72" i="1"/>
  <c r="T72" i="1"/>
  <c r="S72" i="1"/>
  <c r="R72" i="1"/>
  <c r="Q72" i="1"/>
  <c r="O72" i="1"/>
  <c r="K72" i="1"/>
  <c r="I72" i="1"/>
  <c r="H72" i="1"/>
  <c r="G72" i="1"/>
  <c r="F72" i="1"/>
  <c r="E72" i="1"/>
  <c r="D72" i="1"/>
  <c r="AE71" i="1"/>
  <c r="AA71" i="1"/>
  <c r="Z71" i="1"/>
  <c r="Y71" i="1"/>
  <c r="X71" i="1"/>
  <c r="W71" i="1"/>
  <c r="V71" i="1"/>
  <c r="U71" i="1"/>
  <c r="T71" i="1"/>
  <c r="S71" i="1"/>
  <c r="R71" i="1"/>
  <c r="Q71" i="1"/>
  <c r="O71" i="1"/>
  <c r="K71" i="1"/>
  <c r="I71" i="1"/>
  <c r="H71" i="1"/>
  <c r="G71" i="1"/>
  <c r="F71" i="1"/>
  <c r="E71" i="1"/>
  <c r="D71" i="1"/>
  <c r="AE70" i="1"/>
  <c r="AA70" i="1"/>
  <c r="Z70" i="1"/>
  <c r="Y70" i="1"/>
  <c r="X70" i="1"/>
  <c r="W70" i="1"/>
  <c r="V70" i="1"/>
  <c r="U70" i="1"/>
  <c r="T70" i="1"/>
  <c r="S70" i="1"/>
  <c r="R70" i="1"/>
  <c r="Q70" i="1"/>
  <c r="O70" i="1"/>
  <c r="K70" i="1"/>
  <c r="I70" i="1"/>
  <c r="H70" i="1"/>
  <c r="G70" i="1"/>
  <c r="F70" i="1"/>
  <c r="E70" i="1"/>
  <c r="D70" i="1"/>
  <c r="AE69" i="1"/>
  <c r="AA69" i="1"/>
  <c r="Z69" i="1"/>
  <c r="Y69" i="1"/>
  <c r="X69" i="1"/>
  <c r="W69" i="1"/>
  <c r="V69" i="1"/>
  <c r="U69" i="1"/>
  <c r="T69" i="1"/>
  <c r="S69" i="1"/>
  <c r="R69" i="1"/>
  <c r="Q69" i="1"/>
  <c r="O69" i="1"/>
  <c r="K69" i="1"/>
  <c r="I69" i="1"/>
  <c r="H69" i="1"/>
  <c r="G69" i="1"/>
  <c r="F69" i="1"/>
  <c r="E69" i="1"/>
  <c r="D69" i="1"/>
  <c r="AE68" i="1"/>
  <c r="AA68" i="1"/>
  <c r="Z68" i="1"/>
  <c r="Y68" i="1"/>
  <c r="X68" i="1"/>
  <c r="W68" i="1"/>
  <c r="V68" i="1"/>
  <c r="U68" i="1"/>
  <c r="T68" i="1"/>
  <c r="S68" i="1"/>
  <c r="R68" i="1"/>
  <c r="Q68" i="1"/>
  <c r="O68" i="1"/>
  <c r="K68" i="1"/>
  <c r="I68" i="1"/>
  <c r="H68" i="1"/>
  <c r="G68" i="1"/>
  <c r="F68" i="1"/>
  <c r="E68" i="1"/>
  <c r="D68" i="1"/>
  <c r="AE67" i="1"/>
  <c r="AA67" i="1"/>
  <c r="Z67" i="1"/>
  <c r="Y67" i="1"/>
  <c r="X67" i="1"/>
  <c r="W67" i="1"/>
  <c r="V67" i="1"/>
  <c r="U67" i="1"/>
  <c r="T67" i="1"/>
  <c r="S67" i="1"/>
  <c r="R67" i="1"/>
  <c r="Q67" i="1"/>
  <c r="O67" i="1"/>
  <c r="K67" i="1"/>
  <c r="I67" i="1"/>
  <c r="H67" i="1"/>
  <c r="G67" i="1"/>
  <c r="F67" i="1"/>
  <c r="E67" i="1"/>
  <c r="D67" i="1"/>
  <c r="AE66" i="1"/>
  <c r="AA66" i="1"/>
  <c r="Z66" i="1"/>
  <c r="Y66" i="1"/>
  <c r="X66" i="1"/>
  <c r="W66" i="1"/>
  <c r="V66" i="1"/>
  <c r="U66" i="1"/>
  <c r="T66" i="1"/>
  <c r="S66" i="1"/>
  <c r="R66" i="1"/>
  <c r="Q66" i="1"/>
  <c r="O66" i="1"/>
  <c r="K66" i="1"/>
  <c r="I66" i="1"/>
  <c r="H66" i="1"/>
  <c r="G66" i="1"/>
  <c r="F66" i="1"/>
  <c r="E66" i="1"/>
  <c r="D66" i="1"/>
  <c r="AE65" i="1"/>
  <c r="AA65" i="1"/>
  <c r="Z65" i="1"/>
  <c r="Y65" i="1"/>
  <c r="X65" i="1"/>
  <c r="W65" i="1"/>
  <c r="V65" i="1"/>
  <c r="U65" i="1"/>
  <c r="T65" i="1"/>
  <c r="S65" i="1"/>
  <c r="R65" i="1"/>
  <c r="Q65" i="1"/>
  <c r="O65" i="1"/>
  <c r="K65" i="1"/>
  <c r="I65" i="1"/>
  <c r="H65" i="1"/>
  <c r="G65" i="1"/>
  <c r="F65" i="1"/>
  <c r="E65" i="1"/>
  <c r="D65" i="1"/>
  <c r="AE64" i="1"/>
  <c r="AA64" i="1"/>
  <c r="Z64" i="1"/>
  <c r="Y64" i="1"/>
  <c r="X64" i="1"/>
  <c r="W64" i="1"/>
  <c r="V64" i="1"/>
  <c r="U64" i="1"/>
  <c r="T64" i="1"/>
  <c r="S64" i="1"/>
  <c r="R64" i="1"/>
  <c r="Q64" i="1"/>
  <c r="O64" i="1"/>
  <c r="K64" i="1"/>
  <c r="I64" i="1"/>
  <c r="H64" i="1"/>
  <c r="G64" i="1"/>
  <c r="F64" i="1"/>
  <c r="E64" i="1"/>
  <c r="D64" i="1"/>
  <c r="AE63" i="1"/>
  <c r="AA63" i="1"/>
  <c r="Z63" i="1"/>
  <c r="Y63" i="1"/>
  <c r="X63" i="1"/>
  <c r="W63" i="1"/>
  <c r="V63" i="1"/>
  <c r="U63" i="1"/>
  <c r="T63" i="1"/>
  <c r="S63" i="1"/>
  <c r="R63" i="1"/>
  <c r="Q63" i="1"/>
  <c r="O63" i="1"/>
  <c r="K63" i="1"/>
  <c r="I63" i="1"/>
  <c r="H63" i="1"/>
  <c r="G63" i="1"/>
  <c r="F63" i="1"/>
  <c r="E63" i="1"/>
  <c r="D63" i="1"/>
  <c r="AE62" i="1"/>
  <c r="AA62" i="1"/>
  <c r="Z62" i="1"/>
  <c r="Y62" i="1"/>
  <c r="X62" i="1"/>
  <c r="W62" i="1"/>
  <c r="V62" i="1"/>
  <c r="U62" i="1"/>
  <c r="T62" i="1"/>
  <c r="S62" i="1"/>
  <c r="R62" i="1"/>
  <c r="Q62" i="1"/>
  <c r="O62" i="1"/>
  <c r="K62" i="1"/>
  <c r="I62" i="1"/>
  <c r="H62" i="1"/>
  <c r="G62" i="1"/>
  <c r="F62" i="1"/>
  <c r="E62" i="1"/>
  <c r="D62" i="1"/>
  <c r="AE61" i="1"/>
  <c r="AA61" i="1"/>
  <c r="Z61" i="1"/>
  <c r="Y61" i="1"/>
  <c r="X61" i="1"/>
  <c r="W61" i="1"/>
  <c r="V61" i="1"/>
  <c r="U61" i="1"/>
  <c r="T61" i="1"/>
  <c r="S61" i="1"/>
  <c r="R61" i="1"/>
  <c r="Q61" i="1"/>
  <c r="O61" i="1"/>
  <c r="K61" i="1"/>
  <c r="I61" i="1"/>
  <c r="H61" i="1"/>
  <c r="G61" i="1"/>
  <c r="F61" i="1"/>
  <c r="E61" i="1"/>
  <c r="D61" i="1"/>
  <c r="AE60" i="1"/>
  <c r="AA60" i="1"/>
  <c r="Z60" i="1"/>
  <c r="Y60" i="1"/>
  <c r="X60" i="1"/>
  <c r="W60" i="1"/>
  <c r="V60" i="1"/>
  <c r="U60" i="1"/>
  <c r="T60" i="1"/>
  <c r="S60" i="1"/>
  <c r="R60" i="1"/>
  <c r="Q60" i="1"/>
  <c r="O60" i="1"/>
  <c r="K60" i="1"/>
  <c r="I60" i="1"/>
  <c r="H60" i="1"/>
  <c r="G60" i="1"/>
  <c r="F60" i="1"/>
  <c r="E60" i="1"/>
  <c r="D60" i="1"/>
  <c r="AE59" i="1"/>
  <c r="AA59" i="1"/>
  <c r="Z59" i="1"/>
  <c r="Y59" i="1"/>
  <c r="X59" i="1"/>
  <c r="W59" i="1"/>
  <c r="V59" i="1"/>
  <c r="U59" i="1"/>
  <c r="T59" i="1"/>
  <c r="S59" i="1"/>
  <c r="R59" i="1"/>
  <c r="Q59" i="1"/>
  <c r="O59" i="1"/>
  <c r="K59" i="1"/>
  <c r="I59" i="1"/>
  <c r="H59" i="1"/>
  <c r="G59" i="1"/>
  <c r="F59" i="1"/>
  <c r="E59" i="1"/>
  <c r="D59" i="1"/>
  <c r="AE58" i="1"/>
  <c r="AA58" i="1"/>
  <c r="Z58" i="1"/>
  <c r="Y58" i="1"/>
  <c r="X58" i="1"/>
  <c r="W58" i="1"/>
  <c r="V58" i="1"/>
  <c r="U58" i="1"/>
  <c r="T58" i="1"/>
  <c r="S58" i="1"/>
  <c r="R58" i="1"/>
  <c r="Q58" i="1"/>
  <c r="O58" i="1"/>
  <c r="K58" i="1"/>
  <c r="I58" i="1"/>
  <c r="H58" i="1"/>
  <c r="G58" i="1"/>
  <c r="F58" i="1"/>
  <c r="E58" i="1"/>
  <c r="D58" i="1"/>
  <c r="AE57" i="1"/>
  <c r="AA57" i="1"/>
  <c r="Z57" i="1"/>
  <c r="Y57" i="1"/>
  <c r="X57" i="1"/>
  <c r="W57" i="1"/>
  <c r="V57" i="1"/>
  <c r="U57" i="1"/>
  <c r="T57" i="1"/>
  <c r="S57" i="1"/>
  <c r="R57" i="1"/>
  <c r="Q57" i="1"/>
  <c r="O57" i="1"/>
  <c r="K57" i="1"/>
  <c r="I57" i="1"/>
  <c r="H57" i="1"/>
  <c r="G57" i="1"/>
  <c r="F57" i="1"/>
  <c r="E57" i="1"/>
  <c r="D57" i="1"/>
  <c r="AE56" i="1"/>
  <c r="AA56" i="1"/>
  <c r="Z56" i="1"/>
  <c r="Y56" i="1"/>
  <c r="X56" i="1"/>
  <c r="W56" i="1"/>
  <c r="V56" i="1"/>
  <c r="U56" i="1"/>
  <c r="T56" i="1"/>
  <c r="S56" i="1"/>
  <c r="R56" i="1"/>
  <c r="Q56" i="1"/>
  <c r="O56" i="1"/>
  <c r="K56" i="1"/>
  <c r="I56" i="1"/>
  <c r="H56" i="1"/>
  <c r="G56" i="1"/>
  <c r="F56" i="1"/>
  <c r="E56" i="1"/>
  <c r="D56" i="1"/>
  <c r="AE55" i="1"/>
  <c r="AA55" i="1"/>
  <c r="Z55" i="1"/>
  <c r="Y55" i="1"/>
  <c r="X55" i="1"/>
  <c r="W55" i="1"/>
  <c r="V55" i="1"/>
  <c r="U55" i="1"/>
  <c r="T55" i="1"/>
  <c r="S55" i="1"/>
  <c r="R55" i="1"/>
  <c r="Q55" i="1"/>
  <c r="O55" i="1"/>
  <c r="K55" i="1"/>
  <c r="I55" i="1"/>
  <c r="H55" i="1"/>
  <c r="G55" i="1"/>
  <c r="F55" i="1"/>
  <c r="E55" i="1"/>
  <c r="D55" i="1"/>
  <c r="AE54" i="1"/>
  <c r="AA54" i="1"/>
  <c r="Z54" i="1"/>
  <c r="Y54" i="1"/>
  <c r="X54" i="1"/>
  <c r="W54" i="1"/>
  <c r="V54" i="1"/>
  <c r="U54" i="1"/>
  <c r="T54" i="1"/>
  <c r="S54" i="1"/>
  <c r="R54" i="1"/>
  <c r="Q54" i="1"/>
  <c r="O54" i="1"/>
  <c r="K54" i="1"/>
  <c r="I54" i="1"/>
  <c r="H54" i="1"/>
  <c r="G54" i="1"/>
  <c r="F54" i="1"/>
  <c r="E54" i="1"/>
  <c r="D54" i="1"/>
  <c r="AE53" i="1"/>
  <c r="AA53" i="1"/>
  <c r="Z53" i="1"/>
  <c r="Y53" i="1"/>
  <c r="X53" i="1"/>
  <c r="W53" i="1"/>
  <c r="V53" i="1"/>
  <c r="U53" i="1"/>
  <c r="T53" i="1"/>
  <c r="S53" i="1"/>
  <c r="R53" i="1"/>
  <c r="Q53" i="1"/>
  <c r="O53" i="1"/>
  <c r="K53" i="1"/>
  <c r="I53" i="1"/>
  <c r="H53" i="1"/>
  <c r="G53" i="1"/>
  <c r="F53" i="1"/>
  <c r="E53" i="1"/>
  <c r="D53" i="1"/>
  <c r="AE52" i="1"/>
  <c r="AA52" i="1"/>
  <c r="Z52" i="1"/>
  <c r="Y52" i="1"/>
  <c r="X52" i="1"/>
  <c r="W52" i="1"/>
  <c r="V52" i="1"/>
  <c r="U52" i="1"/>
  <c r="T52" i="1"/>
  <c r="S52" i="1"/>
  <c r="R52" i="1"/>
  <c r="Q52" i="1"/>
  <c r="O52" i="1"/>
  <c r="K52" i="1"/>
  <c r="I52" i="1"/>
  <c r="H52" i="1"/>
  <c r="G52" i="1"/>
  <c r="F52" i="1"/>
  <c r="E52" i="1"/>
  <c r="D52" i="1"/>
  <c r="AE51" i="1"/>
  <c r="AA51" i="1"/>
  <c r="Z51" i="1"/>
  <c r="Y51" i="1"/>
  <c r="X51" i="1"/>
  <c r="W51" i="1"/>
  <c r="V51" i="1"/>
  <c r="U51" i="1"/>
  <c r="T51" i="1"/>
  <c r="S51" i="1"/>
  <c r="R51" i="1"/>
  <c r="Q51" i="1"/>
  <c r="O51" i="1"/>
  <c r="K51" i="1"/>
  <c r="I51" i="1"/>
  <c r="H51" i="1"/>
  <c r="G51" i="1"/>
  <c r="F51" i="1"/>
  <c r="E51" i="1"/>
  <c r="D51" i="1"/>
  <c r="AE50" i="1"/>
  <c r="AA50" i="1"/>
  <c r="Z50" i="1"/>
  <c r="Y50" i="1"/>
  <c r="X50" i="1"/>
  <c r="W50" i="1"/>
  <c r="V50" i="1"/>
  <c r="U50" i="1"/>
  <c r="T50" i="1"/>
  <c r="S50" i="1"/>
  <c r="R50" i="1"/>
  <c r="Q50" i="1"/>
  <c r="O50" i="1"/>
  <c r="K50" i="1"/>
  <c r="I50" i="1"/>
  <c r="H50" i="1"/>
  <c r="G50" i="1"/>
  <c r="F50" i="1"/>
  <c r="E50" i="1"/>
  <c r="D50" i="1"/>
  <c r="AE49" i="1"/>
  <c r="AA49" i="1"/>
  <c r="Z49" i="1"/>
  <c r="Y49" i="1"/>
  <c r="X49" i="1"/>
  <c r="W49" i="1"/>
  <c r="V49" i="1"/>
  <c r="U49" i="1"/>
  <c r="T49" i="1"/>
  <c r="S49" i="1"/>
  <c r="R49" i="1"/>
  <c r="Q49" i="1"/>
  <c r="O49" i="1"/>
  <c r="K49" i="1"/>
  <c r="I49" i="1"/>
  <c r="H49" i="1"/>
  <c r="G49" i="1"/>
  <c r="F49" i="1"/>
  <c r="E49" i="1"/>
  <c r="D49" i="1"/>
  <c r="AE48" i="1"/>
  <c r="AA48" i="1"/>
  <c r="Z48" i="1"/>
  <c r="Y48" i="1"/>
  <c r="X48" i="1"/>
  <c r="W48" i="1"/>
  <c r="V48" i="1"/>
  <c r="U48" i="1"/>
  <c r="T48" i="1"/>
  <c r="S48" i="1"/>
  <c r="R48" i="1"/>
  <c r="Q48" i="1"/>
  <c r="O48" i="1"/>
  <c r="K48" i="1"/>
  <c r="I48" i="1"/>
  <c r="H48" i="1"/>
  <c r="G48" i="1"/>
  <c r="F48" i="1"/>
  <c r="E48" i="1"/>
  <c r="D48" i="1"/>
  <c r="AE47" i="1"/>
  <c r="AA47" i="1"/>
  <c r="Z47" i="1"/>
  <c r="Y47" i="1"/>
  <c r="X47" i="1"/>
  <c r="W47" i="1"/>
  <c r="V47" i="1"/>
  <c r="U47" i="1"/>
  <c r="T47" i="1"/>
  <c r="S47" i="1"/>
  <c r="R47" i="1"/>
  <c r="Q47" i="1"/>
  <c r="O47" i="1"/>
  <c r="K47" i="1"/>
  <c r="I47" i="1"/>
  <c r="H47" i="1"/>
  <c r="G47" i="1"/>
  <c r="F47" i="1"/>
  <c r="E47" i="1"/>
  <c r="D47" i="1"/>
  <c r="AE46" i="1"/>
  <c r="AA46" i="1"/>
  <c r="Z46" i="1"/>
  <c r="Y46" i="1"/>
  <c r="X46" i="1"/>
  <c r="W46" i="1"/>
  <c r="V46" i="1"/>
  <c r="U46" i="1"/>
  <c r="T46" i="1"/>
  <c r="S46" i="1"/>
  <c r="R46" i="1"/>
  <c r="Q46" i="1"/>
  <c r="O46" i="1"/>
  <c r="K46" i="1"/>
  <c r="I46" i="1"/>
  <c r="H46" i="1"/>
  <c r="G46" i="1"/>
  <c r="F46" i="1"/>
  <c r="E46" i="1"/>
  <c r="D46" i="1"/>
  <c r="AE45" i="1"/>
  <c r="AA45" i="1"/>
  <c r="Z45" i="1"/>
  <c r="Y45" i="1"/>
  <c r="X45" i="1"/>
  <c r="W45" i="1"/>
  <c r="V45" i="1"/>
  <c r="U45" i="1"/>
  <c r="T45" i="1"/>
  <c r="S45" i="1"/>
  <c r="R45" i="1"/>
  <c r="Q45" i="1"/>
  <c r="O45" i="1"/>
  <c r="K45" i="1"/>
  <c r="I45" i="1"/>
  <c r="H45" i="1"/>
  <c r="G45" i="1"/>
  <c r="F45" i="1"/>
  <c r="E45" i="1"/>
  <c r="D45" i="1"/>
  <c r="AE44" i="1"/>
  <c r="AA44" i="1"/>
  <c r="Z44" i="1"/>
  <c r="Y44" i="1"/>
  <c r="X44" i="1"/>
  <c r="W44" i="1"/>
  <c r="V44" i="1"/>
  <c r="U44" i="1"/>
  <c r="T44" i="1"/>
  <c r="S44" i="1"/>
  <c r="R44" i="1"/>
  <c r="Q44" i="1"/>
  <c r="O44" i="1"/>
  <c r="K44" i="1"/>
  <c r="I44" i="1"/>
  <c r="H44" i="1"/>
  <c r="G44" i="1"/>
  <c r="F44" i="1"/>
  <c r="E44" i="1"/>
  <c r="D44" i="1"/>
  <c r="AE43" i="1"/>
  <c r="AA43" i="1"/>
  <c r="Z43" i="1"/>
  <c r="Y43" i="1"/>
  <c r="X43" i="1"/>
  <c r="W43" i="1"/>
  <c r="V43" i="1"/>
  <c r="U43" i="1"/>
  <c r="T43" i="1"/>
  <c r="S43" i="1"/>
  <c r="R43" i="1"/>
  <c r="Q43" i="1"/>
  <c r="O43" i="1"/>
  <c r="K43" i="1"/>
  <c r="I43" i="1"/>
  <c r="H43" i="1"/>
  <c r="G43" i="1"/>
  <c r="F43" i="1"/>
  <c r="E43" i="1"/>
  <c r="D43" i="1"/>
  <c r="AE42" i="1"/>
  <c r="AA42" i="1"/>
  <c r="Z42" i="1"/>
  <c r="Y42" i="1"/>
  <c r="X42" i="1"/>
  <c r="W42" i="1"/>
  <c r="V42" i="1"/>
  <c r="U42" i="1"/>
  <c r="T42" i="1"/>
  <c r="S42" i="1"/>
  <c r="R42" i="1"/>
  <c r="Q42" i="1"/>
  <c r="O42" i="1"/>
  <c r="K42" i="1"/>
  <c r="I42" i="1"/>
  <c r="H42" i="1"/>
  <c r="G42" i="1"/>
  <c r="F42" i="1"/>
  <c r="E42" i="1"/>
  <c r="D42" i="1"/>
  <c r="AE41" i="1"/>
  <c r="AA41" i="1"/>
  <c r="Z41" i="1"/>
  <c r="Y41" i="1"/>
  <c r="X41" i="1"/>
  <c r="W41" i="1"/>
  <c r="V41" i="1"/>
  <c r="U41" i="1"/>
  <c r="T41" i="1"/>
  <c r="S41" i="1"/>
  <c r="R41" i="1"/>
  <c r="Q41" i="1"/>
  <c r="O41" i="1"/>
  <c r="K41" i="1"/>
  <c r="I41" i="1"/>
  <c r="H41" i="1"/>
  <c r="G41" i="1"/>
  <c r="F41" i="1"/>
  <c r="E41" i="1"/>
  <c r="D41" i="1"/>
  <c r="AE40" i="1"/>
  <c r="AA40" i="1"/>
  <c r="Z40" i="1"/>
  <c r="Y40" i="1"/>
  <c r="X40" i="1"/>
  <c r="W40" i="1"/>
  <c r="V40" i="1"/>
  <c r="U40" i="1"/>
  <c r="T40" i="1"/>
  <c r="S40" i="1"/>
  <c r="R40" i="1"/>
  <c r="Q40" i="1"/>
  <c r="O40" i="1"/>
  <c r="K40" i="1"/>
  <c r="I40" i="1"/>
  <c r="H40" i="1"/>
  <c r="G40" i="1"/>
  <c r="F40" i="1"/>
  <c r="E40" i="1"/>
  <c r="D40" i="1"/>
  <c r="AE39" i="1"/>
  <c r="AA39" i="1"/>
  <c r="Z39" i="1"/>
  <c r="Y39" i="1"/>
  <c r="X39" i="1"/>
  <c r="W39" i="1"/>
  <c r="V39" i="1"/>
  <c r="U39" i="1"/>
  <c r="T39" i="1"/>
  <c r="S39" i="1"/>
  <c r="R39" i="1"/>
  <c r="Q39" i="1"/>
  <c r="O39" i="1"/>
  <c r="K39" i="1"/>
  <c r="I39" i="1"/>
  <c r="H39" i="1"/>
  <c r="G39" i="1"/>
  <c r="F39" i="1"/>
  <c r="E39" i="1"/>
  <c r="D39" i="1"/>
  <c r="AE38" i="1"/>
  <c r="AA38" i="1"/>
  <c r="Z38" i="1"/>
  <c r="Y38" i="1"/>
  <c r="X38" i="1"/>
  <c r="W38" i="1"/>
  <c r="V38" i="1"/>
  <c r="U38" i="1"/>
  <c r="T38" i="1"/>
  <c r="S38" i="1"/>
  <c r="R38" i="1"/>
  <c r="Q38" i="1"/>
  <c r="O38" i="1"/>
  <c r="K38" i="1"/>
  <c r="I38" i="1"/>
  <c r="H38" i="1"/>
  <c r="G38" i="1"/>
  <c r="F38" i="1"/>
  <c r="E38" i="1"/>
  <c r="D38" i="1"/>
  <c r="AE37" i="1"/>
  <c r="AA37" i="1"/>
  <c r="Z37" i="1"/>
  <c r="Y37" i="1"/>
  <c r="X37" i="1"/>
  <c r="W37" i="1"/>
  <c r="V37" i="1"/>
  <c r="U37" i="1"/>
  <c r="T37" i="1"/>
  <c r="S37" i="1"/>
  <c r="R37" i="1"/>
  <c r="Q37" i="1"/>
  <c r="O37" i="1"/>
  <c r="K37" i="1"/>
  <c r="I37" i="1"/>
  <c r="H37" i="1"/>
  <c r="G37" i="1"/>
  <c r="F37" i="1"/>
  <c r="E37" i="1"/>
  <c r="D37" i="1"/>
  <c r="AE36" i="1"/>
  <c r="AA36" i="1"/>
  <c r="Z36" i="1"/>
  <c r="Y36" i="1"/>
  <c r="X36" i="1"/>
  <c r="W36" i="1"/>
  <c r="V36" i="1"/>
  <c r="U36" i="1"/>
  <c r="T36" i="1"/>
  <c r="S36" i="1"/>
  <c r="R36" i="1"/>
  <c r="Q36" i="1"/>
  <c r="O36" i="1"/>
  <c r="K36" i="1"/>
  <c r="I36" i="1"/>
  <c r="H36" i="1"/>
  <c r="G36" i="1"/>
  <c r="F36" i="1"/>
  <c r="E36" i="1"/>
  <c r="D36" i="1"/>
  <c r="AE35" i="1"/>
  <c r="AA35" i="1"/>
  <c r="Z35" i="1"/>
  <c r="Y35" i="1"/>
  <c r="X35" i="1"/>
  <c r="W35" i="1"/>
  <c r="V35" i="1"/>
  <c r="U35" i="1"/>
  <c r="T35" i="1"/>
  <c r="S35" i="1"/>
  <c r="R35" i="1"/>
  <c r="Q35" i="1"/>
  <c r="O35" i="1"/>
  <c r="K35" i="1"/>
  <c r="I35" i="1"/>
  <c r="H35" i="1"/>
  <c r="G35" i="1"/>
  <c r="F35" i="1"/>
  <c r="E35" i="1"/>
  <c r="D35" i="1"/>
  <c r="AE34" i="1"/>
  <c r="AA34" i="1"/>
  <c r="Z34" i="1"/>
  <c r="Y34" i="1"/>
  <c r="X34" i="1"/>
  <c r="W34" i="1"/>
  <c r="V34" i="1"/>
  <c r="U34" i="1"/>
  <c r="T34" i="1"/>
  <c r="S34" i="1"/>
  <c r="R34" i="1"/>
  <c r="Q34" i="1"/>
  <c r="O34" i="1"/>
  <c r="K34" i="1"/>
  <c r="I34" i="1"/>
  <c r="H34" i="1"/>
  <c r="G34" i="1"/>
  <c r="F34" i="1"/>
  <c r="E34" i="1"/>
  <c r="D34" i="1"/>
  <c r="AE33" i="1"/>
  <c r="AA33" i="1"/>
  <c r="Z33" i="1"/>
  <c r="Y33" i="1"/>
  <c r="X33" i="1"/>
  <c r="W33" i="1"/>
  <c r="V33" i="1"/>
  <c r="U33" i="1"/>
  <c r="T33" i="1"/>
  <c r="S33" i="1"/>
  <c r="R33" i="1"/>
  <c r="Q33" i="1"/>
  <c r="O33" i="1"/>
  <c r="K33" i="1"/>
  <c r="I33" i="1"/>
  <c r="H33" i="1"/>
  <c r="G33" i="1"/>
  <c r="F33" i="1"/>
  <c r="E33" i="1"/>
  <c r="D33" i="1"/>
  <c r="AE32" i="1"/>
  <c r="AA32" i="1"/>
  <c r="Z32" i="1"/>
  <c r="Y32" i="1"/>
  <c r="X32" i="1"/>
  <c r="W32" i="1"/>
  <c r="V32" i="1"/>
  <c r="U32" i="1"/>
  <c r="T32" i="1"/>
  <c r="S32" i="1"/>
  <c r="R32" i="1"/>
  <c r="Q32" i="1"/>
  <c r="O32" i="1"/>
  <c r="K32" i="1"/>
  <c r="I32" i="1"/>
  <c r="H32" i="1"/>
  <c r="G32" i="1"/>
  <c r="F32" i="1"/>
  <c r="E32" i="1"/>
  <c r="D32" i="1"/>
  <c r="AE31" i="1"/>
  <c r="AA31" i="1"/>
  <c r="Z31" i="1"/>
  <c r="Y31" i="1"/>
  <c r="X31" i="1"/>
  <c r="W31" i="1"/>
  <c r="V31" i="1"/>
  <c r="U31" i="1"/>
  <c r="T31" i="1"/>
  <c r="S31" i="1"/>
  <c r="R31" i="1"/>
  <c r="Q31" i="1"/>
  <c r="O31" i="1"/>
  <c r="K31" i="1"/>
  <c r="I31" i="1"/>
  <c r="H31" i="1"/>
  <c r="G31" i="1"/>
  <c r="F31" i="1"/>
  <c r="E31" i="1"/>
  <c r="D31" i="1"/>
  <c r="AE30" i="1"/>
  <c r="AA30" i="1"/>
  <c r="Z30" i="1"/>
  <c r="Y30" i="1"/>
  <c r="X30" i="1"/>
  <c r="W30" i="1"/>
  <c r="V30" i="1"/>
  <c r="U30" i="1"/>
  <c r="T30" i="1"/>
  <c r="S30" i="1"/>
  <c r="R30" i="1"/>
  <c r="Q30" i="1"/>
  <c r="O30" i="1"/>
  <c r="K30" i="1"/>
  <c r="I30" i="1"/>
  <c r="H30" i="1"/>
  <c r="G30" i="1"/>
  <c r="F30" i="1"/>
  <c r="E30" i="1"/>
  <c r="D30" i="1"/>
  <c r="AE29" i="1"/>
  <c r="AA29" i="1"/>
  <c r="Z29" i="1"/>
  <c r="Y29" i="1"/>
  <c r="X29" i="1"/>
  <c r="W29" i="1"/>
  <c r="V29" i="1"/>
  <c r="U29" i="1"/>
  <c r="T29" i="1"/>
  <c r="S29" i="1"/>
  <c r="R29" i="1"/>
  <c r="Q29" i="1"/>
  <c r="O29" i="1"/>
  <c r="K29" i="1"/>
  <c r="I29" i="1"/>
  <c r="H29" i="1"/>
  <c r="G29" i="1"/>
  <c r="F29" i="1"/>
  <c r="E29" i="1"/>
  <c r="D29" i="1"/>
  <c r="AE28" i="1"/>
  <c r="AA28" i="1"/>
  <c r="Z28" i="1"/>
  <c r="Y28" i="1"/>
  <c r="X28" i="1"/>
  <c r="W28" i="1"/>
  <c r="V28" i="1"/>
  <c r="U28" i="1"/>
  <c r="T28" i="1"/>
  <c r="S28" i="1"/>
  <c r="R28" i="1"/>
  <c r="Q28" i="1"/>
  <c r="O28" i="1"/>
  <c r="K28" i="1"/>
  <c r="I28" i="1"/>
  <c r="H28" i="1"/>
  <c r="G28" i="1"/>
  <c r="F28" i="1"/>
  <c r="E28" i="1"/>
  <c r="D28" i="1"/>
  <c r="AE27" i="1"/>
  <c r="AA27" i="1"/>
  <c r="Z27" i="1"/>
  <c r="Y27" i="1"/>
  <c r="X27" i="1"/>
  <c r="W27" i="1"/>
  <c r="V27" i="1"/>
  <c r="U27" i="1"/>
  <c r="T27" i="1"/>
  <c r="S27" i="1"/>
  <c r="R27" i="1"/>
  <c r="Q27" i="1"/>
  <c r="O27" i="1"/>
  <c r="K27" i="1"/>
  <c r="I27" i="1"/>
  <c r="H27" i="1"/>
  <c r="G27" i="1"/>
  <c r="F27" i="1"/>
  <c r="E27" i="1"/>
  <c r="D27" i="1"/>
  <c r="AE26" i="1"/>
  <c r="AA26" i="1"/>
  <c r="Z26" i="1"/>
  <c r="Y26" i="1"/>
  <c r="X26" i="1"/>
  <c r="W26" i="1"/>
  <c r="V26" i="1"/>
  <c r="U26" i="1"/>
  <c r="T26" i="1"/>
  <c r="S26" i="1"/>
  <c r="R26" i="1"/>
  <c r="Q26" i="1"/>
  <c r="O26" i="1"/>
  <c r="K26" i="1"/>
  <c r="I26" i="1"/>
  <c r="H26" i="1"/>
  <c r="G26" i="1"/>
  <c r="F26" i="1"/>
  <c r="E26" i="1"/>
  <c r="D26" i="1"/>
  <c r="AE25" i="1"/>
  <c r="AA25" i="1"/>
  <c r="Z25" i="1"/>
  <c r="Y25" i="1"/>
  <c r="X25" i="1"/>
  <c r="W25" i="1"/>
  <c r="V25" i="1"/>
  <c r="U25" i="1"/>
  <c r="T25" i="1"/>
  <c r="S25" i="1"/>
  <c r="R25" i="1"/>
  <c r="Q25" i="1"/>
  <c r="O25" i="1"/>
  <c r="K25" i="1"/>
  <c r="I25" i="1"/>
  <c r="H25" i="1"/>
  <c r="G25" i="1"/>
  <c r="F25" i="1"/>
  <c r="E25" i="1"/>
  <c r="D25" i="1"/>
  <c r="AE24" i="1"/>
  <c r="AA24" i="1"/>
  <c r="Z24" i="1"/>
  <c r="Y24" i="1"/>
  <c r="X24" i="1"/>
  <c r="W24" i="1"/>
  <c r="V24" i="1"/>
  <c r="U24" i="1"/>
  <c r="T24" i="1"/>
  <c r="S24" i="1"/>
  <c r="R24" i="1"/>
  <c r="Q24" i="1"/>
  <c r="O24" i="1"/>
  <c r="K24" i="1"/>
  <c r="I24" i="1"/>
  <c r="H24" i="1"/>
  <c r="G24" i="1"/>
  <c r="F24" i="1"/>
  <c r="E24" i="1"/>
  <c r="D24" i="1"/>
  <c r="AE23" i="1"/>
  <c r="O23" i="1"/>
  <c r="I23" i="1"/>
  <c r="H23" i="1"/>
  <c r="G23" i="1"/>
  <c r="E23" i="1"/>
  <c r="D23" i="1"/>
  <c r="AE22" i="1"/>
  <c r="O22" i="1"/>
  <c r="Q22" i="1" s="1"/>
  <c r="I22" i="1"/>
  <c r="H22" i="1"/>
  <c r="G22" i="1"/>
  <c r="E22" i="1"/>
  <c r="D22" i="1"/>
  <c r="AE21" i="1"/>
  <c r="O21" i="1"/>
  <c r="I21" i="1"/>
  <c r="H21" i="1"/>
  <c r="G21" i="1"/>
  <c r="E21" i="1"/>
  <c r="D21" i="1"/>
  <c r="AE20" i="1"/>
  <c r="O20" i="1"/>
  <c r="I20" i="1"/>
  <c r="H20" i="1"/>
  <c r="G20" i="1"/>
  <c r="E20" i="1"/>
  <c r="D20" i="1"/>
  <c r="W20" i="1" s="1"/>
  <c r="AE19" i="1"/>
  <c r="O19" i="1"/>
  <c r="Q19" i="1" s="1"/>
  <c r="Z19" i="1" s="1"/>
  <c r="I19" i="1"/>
  <c r="H19" i="1"/>
  <c r="G19" i="1"/>
  <c r="E19" i="1"/>
  <c r="D19" i="1"/>
  <c r="K19" i="1" s="1"/>
  <c r="AE18" i="1"/>
  <c r="O18" i="1"/>
  <c r="I18" i="1"/>
  <c r="H18" i="1"/>
  <c r="G18" i="1"/>
  <c r="E18" i="1"/>
  <c r="D18" i="1"/>
  <c r="V18" i="1" s="1"/>
  <c r="AE17" i="1"/>
  <c r="I17" i="1"/>
  <c r="H17" i="1"/>
  <c r="G17" i="1"/>
  <c r="E17" i="1"/>
  <c r="D17" i="1"/>
  <c r="W17" i="1" s="1"/>
  <c r="AE16" i="1"/>
  <c r="O16" i="1"/>
  <c r="I16" i="1"/>
  <c r="H16" i="1"/>
  <c r="G16" i="1"/>
  <c r="E16" i="1"/>
  <c r="D16" i="1"/>
  <c r="W16" i="1" s="1"/>
  <c r="AE15" i="1"/>
  <c r="O15" i="1"/>
  <c r="I15" i="1"/>
  <c r="H15" i="1"/>
  <c r="G15" i="1"/>
  <c r="E15" i="1"/>
  <c r="D15" i="1"/>
  <c r="AE14" i="1"/>
  <c r="O14" i="1"/>
  <c r="I14" i="1"/>
  <c r="H14" i="1"/>
  <c r="G14" i="1"/>
  <c r="E14" i="1"/>
  <c r="D14" i="1"/>
  <c r="W14" i="1" s="1"/>
  <c r="AE13" i="1"/>
  <c r="O13" i="1"/>
  <c r="Q13" i="1" s="1"/>
  <c r="Z13" i="1" s="1"/>
  <c r="I13" i="1"/>
  <c r="H13" i="1"/>
  <c r="G13" i="1"/>
  <c r="E13" i="1"/>
  <c r="D13" i="1"/>
  <c r="V13" i="1" s="1"/>
  <c r="AE12" i="1"/>
  <c r="O12" i="1"/>
  <c r="I12" i="1"/>
  <c r="H12" i="1"/>
  <c r="G12" i="1"/>
  <c r="E12" i="1"/>
  <c r="D12" i="1"/>
  <c r="AE11" i="1"/>
  <c r="O11" i="1"/>
  <c r="I11" i="1"/>
  <c r="H11" i="1"/>
  <c r="G11" i="1"/>
  <c r="E11" i="1"/>
  <c r="D11" i="1"/>
  <c r="AE10" i="1"/>
  <c r="O10" i="1"/>
  <c r="Q10" i="1" s="1"/>
  <c r="I10" i="1"/>
  <c r="W10" i="1" s="1"/>
  <c r="H10" i="1"/>
  <c r="G10" i="1"/>
  <c r="E10" i="1"/>
  <c r="D10" i="1"/>
  <c r="AE9" i="1"/>
  <c r="O9" i="1"/>
  <c r="Q9" i="1" s="1"/>
  <c r="S9" i="1" s="1"/>
  <c r="I9" i="1"/>
  <c r="H9" i="1"/>
  <c r="G9" i="1"/>
  <c r="E9" i="1"/>
  <c r="D9" i="1"/>
  <c r="V9" i="1" s="1"/>
  <c r="AE8" i="1"/>
  <c r="O8" i="1"/>
  <c r="I8" i="1"/>
  <c r="H8" i="1"/>
  <c r="V8" i="1" s="1"/>
  <c r="G8" i="1"/>
  <c r="E8" i="1"/>
  <c r="D8" i="1"/>
  <c r="AE7" i="1"/>
  <c r="W7" i="1"/>
  <c r="O7" i="1"/>
  <c r="I7" i="1"/>
  <c r="H7" i="1"/>
  <c r="G7" i="1"/>
  <c r="F7" i="1"/>
  <c r="E7" i="1"/>
  <c r="D7" i="1"/>
  <c r="K7" i="1" s="1"/>
  <c r="AE6" i="1"/>
  <c r="O6" i="1"/>
  <c r="Q6" i="1" s="1"/>
  <c r="S6" i="1" s="1"/>
  <c r="I6" i="1"/>
  <c r="H6" i="1"/>
  <c r="G6" i="1"/>
  <c r="F6" i="1"/>
  <c r="E6" i="1"/>
  <c r="D6" i="1"/>
  <c r="AE5" i="1"/>
  <c r="O5" i="1"/>
  <c r="I5" i="1"/>
  <c r="H5" i="1"/>
  <c r="G5" i="1"/>
  <c r="F5" i="1"/>
  <c r="E5" i="1"/>
  <c r="D5" i="1"/>
  <c r="AE4" i="1"/>
  <c r="O4" i="1"/>
  <c r="I4" i="1"/>
  <c r="H4" i="1"/>
  <c r="G4" i="1"/>
  <c r="F4" i="1"/>
  <c r="E4" i="1"/>
  <c r="D4" i="1"/>
  <c r="AE3" i="1"/>
  <c r="O3" i="1"/>
  <c r="I3" i="1"/>
  <c r="H3" i="1"/>
  <c r="G3" i="1"/>
  <c r="F3" i="1"/>
  <c r="E3" i="1"/>
  <c r="D3" i="1"/>
  <c r="AE2" i="1"/>
  <c r="O2" i="1"/>
  <c r="I2" i="1"/>
  <c r="H2" i="1"/>
  <c r="G2" i="1"/>
  <c r="E2" i="1"/>
  <c r="D2" i="1"/>
  <c r="K17" i="1" l="1"/>
  <c r="W8" i="1"/>
  <c r="W11" i="1"/>
  <c r="W6" i="1"/>
  <c r="K502" i="1"/>
  <c r="W3" i="1"/>
  <c r="W18" i="1"/>
  <c r="K22" i="1"/>
  <c r="U22" i="1" s="1"/>
  <c r="K9" i="1"/>
  <c r="U9" i="1" s="1"/>
  <c r="W4" i="1"/>
  <c r="K16" i="1"/>
  <c r="U16" i="1" s="1"/>
  <c r="V17" i="1"/>
  <c r="K4" i="1"/>
  <c r="U4" i="1" s="1"/>
  <c r="V16" i="1"/>
  <c r="W9" i="1"/>
  <c r="W13" i="1"/>
  <c r="V22" i="1"/>
  <c r="V7" i="1"/>
  <c r="V19" i="1"/>
  <c r="V23" i="1"/>
  <c r="W23" i="1"/>
  <c r="K23" i="1"/>
  <c r="Q23" i="1"/>
  <c r="Z23" i="1" s="1"/>
  <c r="Z22" i="1"/>
  <c r="S22" i="1"/>
  <c r="W22" i="1"/>
  <c r="V21" i="1"/>
  <c r="W21" i="1"/>
  <c r="Q20" i="1"/>
  <c r="S20" i="1" s="1"/>
  <c r="K21" i="1"/>
  <c r="K20" i="1"/>
  <c r="Q21" i="1"/>
  <c r="Z21" i="1" s="1"/>
  <c r="V20" i="1"/>
  <c r="W19" i="1"/>
  <c r="U19" i="1"/>
  <c r="S19" i="1"/>
  <c r="T19" i="1" s="1"/>
  <c r="Q18" i="1"/>
  <c r="Z18" i="1" s="1"/>
  <c r="K18" i="1"/>
  <c r="S17" i="1"/>
  <c r="T17" i="1" s="1"/>
  <c r="Y17" i="1" s="1"/>
  <c r="U17" i="1"/>
  <c r="Q16" i="1"/>
  <c r="S16" i="1" s="1"/>
  <c r="T16" i="1" s="1"/>
  <c r="AA16" i="1" s="1"/>
  <c r="W15" i="1"/>
  <c r="K15" i="1"/>
  <c r="U15" i="1" s="1"/>
  <c r="V15" i="1"/>
  <c r="Q15" i="1"/>
  <c r="Z15" i="1" s="1"/>
  <c r="K14" i="1"/>
  <c r="Q14" i="1"/>
  <c r="Z14" i="1" s="1"/>
  <c r="V14" i="1"/>
  <c r="K13" i="1"/>
  <c r="S13" i="1"/>
  <c r="T13" i="1" s="1"/>
  <c r="V12" i="1"/>
  <c r="K11" i="1"/>
  <c r="U11" i="1" s="1"/>
  <c r="K10" i="1"/>
  <c r="U10" i="1" s="1"/>
  <c r="V10" i="1"/>
  <c r="Z10" i="1"/>
  <c r="S10" i="1"/>
  <c r="T10" i="1" s="1"/>
  <c r="Q11" i="1"/>
  <c r="Z11" i="1" s="1"/>
  <c r="W12" i="1"/>
  <c r="V11" i="1"/>
  <c r="K12" i="1"/>
  <c r="Q12" i="1"/>
  <c r="Z12" i="1" s="1"/>
  <c r="Z9" i="1"/>
  <c r="Q8" i="1"/>
  <c r="S8" i="1" s="1"/>
  <c r="K8" i="1"/>
  <c r="U7" i="1"/>
  <c r="Q7" i="1"/>
  <c r="Z7" i="1" s="1"/>
  <c r="Z6" i="1"/>
  <c r="V6" i="1"/>
  <c r="K6" i="1"/>
  <c r="T6" i="1" s="1"/>
  <c r="K5" i="1"/>
  <c r="U5" i="1" s="1"/>
  <c r="Q5" i="1"/>
  <c r="Z5" i="1" s="1"/>
  <c r="V5" i="1"/>
  <c r="W5" i="1"/>
  <c r="V4" i="1"/>
  <c r="Q4" i="1"/>
  <c r="S4" i="1" s="1"/>
  <c r="K3" i="1"/>
  <c r="Q3" i="1"/>
  <c r="Z3" i="1" s="1"/>
  <c r="S3" i="1"/>
  <c r="T3" i="1" s="1"/>
  <c r="V3" i="1"/>
  <c r="W2" i="1"/>
  <c r="Z2" i="1"/>
  <c r="K2" i="1"/>
  <c r="V2" i="1"/>
  <c r="U502" i="1"/>
  <c r="Q502" i="1"/>
  <c r="Z502" i="1" s="1"/>
  <c r="T9" i="1" l="1"/>
  <c r="T4" i="1"/>
  <c r="T22" i="1"/>
  <c r="T20" i="1"/>
  <c r="X22" i="1"/>
  <c r="AA22" i="1"/>
  <c r="U23" i="1"/>
  <c r="S23" i="1"/>
  <c r="T23" i="1" s="1"/>
  <c r="Y22" i="1"/>
  <c r="S21" i="1"/>
  <c r="T21" i="1" s="1"/>
  <c r="X20" i="1"/>
  <c r="AA20" i="1"/>
  <c r="Z20" i="1"/>
  <c r="U21" i="1"/>
  <c r="Y20" i="1"/>
  <c r="U20" i="1"/>
  <c r="Y19" i="1"/>
  <c r="AA19" i="1"/>
  <c r="X19" i="1"/>
  <c r="U18" i="1"/>
  <c r="S18" i="1"/>
  <c r="T18" i="1" s="1"/>
  <c r="X17" i="1"/>
  <c r="AA17" i="1"/>
  <c r="Z17" i="1"/>
  <c r="X16" i="1"/>
  <c r="Y16" i="1"/>
  <c r="Z16" i="1"/>
  <c r="S15" i="1"/>
  <c r="T15" i="1" s="1"/>
  <c r="S14" i="1"/>
  <c r="T14" i="1" s="1"/>
  <c r="U14" i="1"/>
  <c r="Y14" i="1"/>
  <c r="X13" i="1"/>
  <c r="AA13" i="1"/>
  <c r="Y13" i="1"/>
  <c r="U13" i="1"/>
  <c r="X6" i="1"/>
  <c r="AA6" i="1"/>
  <c r="X10" i="1"/>
  <c r="AA10" i="1"/>
  <c r="U12" i="1"/>
  <c r="S11" i="1"/>
  <c r="T11" i="1" s="1"/>
  <c r="AA11" i="1" s="1"/>
  <c r="Y10" i="1"/>
  <c r="S12" i="1"/>
  <c r="T12" i="1" s="1"/>
  <c r="Z8" i="1"/>
  <c r="T8" i="1"/>
  <c r="X8" i="1" s="1"/>
  <c r="U8" i="1"/>
  <c r="S7" i="1"/>
  <c r="T7" i="1" s="1"/>
  <c r="U6" i="1"/>
  <c r="Y6" i="1"/>
  <c r="S5" i="1"/>
  <c r="T5" i="1" s="1"/>
  <c r="AA5" i="1" s="1"/>
  <c r="Y4" i="1"/>
  <c r="AA4" i="1"/>
  <c r="X4" i="1"/>
  <c r="Z4" i="1"/>
  <c r="X3" i="1"/>
  <c r="AA3" i="1"/>
  <c r="Y3" i="1"/>
  <c r="U3" i="1"/>
  <c r="U2" i="1"/>
  <c r="S2" i="1"/>
  <c r="T2" i="1" s="1"/>
  <c r="S502" i="1"/>
  <c r="T502" i="1" s="1"/>
  <c r="AA9" i="1" l="1"/>
  <c r="X9" i="1"/>
  <c r="Y9" i="1"/>
  <c r="X23" i="1"/>
  <c r="AA23" i="1"/>
  <c r="Y23" i="1"/>
  <c r="X21" i="1"/>
  <c r="AA21" i="1"/>
  <c r="Y21" i="1"/>
  <c r="X18" i="1"/>
  <c r="AA18" i="1"/>
  <c r="Y18" i="1"/>
  <c r="Y15" i="1"/>
  <c r="AA15" i="1"/>
  <c r="X15" i="1"/>
  <c r="X14" i="1"/>
  <c r="AA14" i="1"/>
  <c r="X12" i="1"/>
  <c r="AA12" i="1"/>
  <c r="X11" i="1"/>
  <c r="Y11" i="1"/>
  <c r="Y12" i="1"/>
  <c r="Y8" i="1"/>
  <c r="AA8" i="1"/>
  <c r="Y7" i="1"/>
  <c r="AA7" i="1"/>
  <c r="X7" i="1"/>
  <c r="Y5" i="1"/>
  <c r="X5" i="1"/>
  <c r="X2" i="1"/>
  <c r="AA2" i="1"/>
  <c r="Y2" i="1"/>
  <c r="Y502" i="1"/>
  <c r="X502" i="1"/>
</calcChain>
</file>

<file path=xl/sharedStrings.xml><?xml version="1.0" encoding="utf-8"?>
<sst xmlns="http://schemas.openxmlformats.org/spreadsheetml/2006/main" count="577" uniqueCount="77">
  <si>
    <t>Card Name</t>
  </si>
  <si>
    <t>Purchase Price</t>
  </si>
  <si>
    <t>Packaging Type</t>
  </si>
  <si>
    <t>Penny Sleeve</t>
  </si>
  <si>
    <t>Top Loader</t>
  </si>
  <si>
    <t>Hobby Armor</t>
  </si>
  <si>
    <t>Team Bag</t>
  </si>
  <si>
    <t>Bubble Mailer</t>
  </si>
  <si>
    <t>Ding Defend Envelope</t>
  </si>
  <si>
    <t>Shipping Label</t>
  </si>
  <si>
    <t>TOTAL COST</t>
  </si>
  <si>
    <t>Sale Price</t>
  </si>
  <si>
    <t>Buyer Shipping Paid</t>
  </si>
  <si>
    <t>Sales Tax Collected</t>
  </si>
  <si>
    <t>Order Total (Buyer Paid)</t>
  </si>
  <si>
    <t>eBay Transaction Fees (Actual)</t>
  </si>
  <si>
    <t>eBay Fees (Estimate)</t>
  </si>
  <si>
    <t>Insertion Fee</t>
  </si>
  <si>
    <t>Order Earnings (Payout)</t>
  </si>
  <si>
    <t>Net Profit (After COGS+Materials)</t>
  </si>
  <si>
    <t>Break Even Item Price (Estimate)</t>
  </si>
  <si>
    <t>NET PROFIT (Old - Deprecated)</t>
  </si>
  <si>
    <t>BREAK EVEN (Old - Deprecated)</t>
  </si>
  <si>
    <t>Profit Margin % (Net/Revenue)</t>
  </si>
  <si>
    <t>ROI % (Net/Total Cost)</t>
  </si>
  <si>
    <t>Fee % of Order (Est)</t>
  </si>
  <si>
    <t>Net Margin % (Net/Sale Price)</t>
  </si>
  <si>
    <t>Notes</t>
  </si>
  <si>
    <t>Date Listed</t>
  </si>
  <si>
    <t>Date Sold</t>
  </si>
  <si>
    <t>Days to Sell</t>
  </si>
  <si>
    <t>ESE (Ding Defend)</t>
  </si>
  <si>
    <t>Notes:</t>
  </si>
  <si>
    <t>Enter Sales Tax + eBay Transaction Fees (Actual) from the order details when possible. If the Actual fee is blank, the sheet uses the Estimate (Settings tab). Order Earnings exclude sales tax (since eBay collects it).</t>
  </si>
  <si>
    <t>Material</t>
  </si>
  <si>
    <t>Pack Count</t>
  </si>
  <si>
    <t>Pack Price</t>
  </si>
  <si>
    <t>Cost Per Unit (Calc)</t>
  </si>
  <si>
    <t>Cost Per Unit (Rounded)</t>
  </si>
  <si>
    <t>Ultra Pro 3x4 Top Loaders</t>
  </si>
  <si>
    <t>Ultra Pro Penny Sleeves</t>
  </si>
  <si>
    <t>Ding Defend Card Shipping Envelopes</t>
  </si>
  <si>
    <t>Bubble Mailers 4x7 Poly Padded (packbabol)</t>
  </si>
  <si>
    <t>Hobby Armor 3.5x4.5 Rounded Corners</t>
  </si>
  <si>
    <t>Team Bags 3x4 (35pt) - DEDC</t>
  </si>
  <si>
    <t>Graded Card Sleeves Resealable (Lewtemi)</t>
  </si>
  <si>
    <t>Note: Penny sleeves are $8.58/500 = $0.0172 each (not $0.01). Cost/Unit here is calculated as Pack Price ÷ Pack Count.</t>
  </si>
  <si>
    <t>Setting</t>
  </si>
  <si>
    <t>Value</t>
  </si>
  <si>
    <t>eBay fee rate (estimate)</t>
  </si>
  <si>
    <t>Used when actual fee isn’t entered. Edit to match your category/rate.</t>
  </si>
  <si>
    <t>eBay fixed fee per order (estimate)</t>
  </si>
  <si>
    <t>Fixed component used in estimate.</t>
  </si>
  <si>
    <t>Insertion fee after free allotment</t>
  </si>
  <si>
    <t>Basic Store: 1,000 fixed-price listings/month included; after that ~$0.25 each (per your screenshot).</t>
  </si>
  <si>
    <t>Joe Burrow 2025 Panini Score Patch MEM Stars of NFL Bengals Insert #SNJ-JBW</t>
  </si>
  <si>
    <t>Terrance Ferguson 2025 Panini Rookies &amp; Stars Crusade Red Plaid Prizm #27 RC</t>
  </si>
  <si>
    <t>Drake Maye 2024 Donruss Optic Rated Rookie Green Hyper Prizm #229 RC Patriots</t>
  </si>
  <si>
    <t>Caleb Williams Rookie RC 2024 Panini Draft Class DC-CWS Chicago Bears</t>
  </si>
  <si>
    <t>Mookie Betts 2026 Topps Series 1 Orange Diamante #/25 Dodgers SP Parallel </t>
  </si>
  <si>
    <t>Shohei Ohtani 2026 Topps Diamante Foil #200 Dodgers MVP Parallel</t>
  </si>
  <si>
    <t>Michael Jordan 1990 SkyBox #41 Chicago Bulls NBA Basketball Card NM</t>
  </si>
  <si>
    <t>Terrance Ferguson 2025 Rookies &amp; Stars RC Crusade Red Prizm #27 Rams Rookie</t>
  </si>
  <si>
    <t>Elly De La Cruz 2023 Bowman Chrome Spotlights BS-8 RC Rookie Reds</t>
  </si>
  <si>
    <t>James Wood RC 2026 Topps 1990 Topps Rookie Insert Nationals</t>
  </si>
  <si>
    <t>Ronald Acuna Jr 2026 Topps Series 1 Stars Of MLB #SMLB-15 Atlanta Braves</t>
  </si>
  <si>
    <t>Shohei Ohtani 2025 Topps Summer Superstars #SS-19 MLB Dodgers Insert</t>
  </si>
  <si>
    <t>2025 Bowman Draft Mojo Chrome Tyler Bremner 1st BDC-37 Angels</t>
  </si>
  <si>
    <t>Brock Bowers 2024 Donruss Optic Pink Velocity Rated Rookie RC #215 Raiders</t>
  </si>
  <si>
    <t>Jacob Melton 2026 Topps RC Spring Training Foil #148 Astros Rookie</t>
  </si>
  <si>
    <t>Victor Wembanyama RC 2023-24 Panini NBA Hoops #277 Rookie Card Spurs Base</t>
  </si>
  <si>
    <t>Kevin McGonigle 2025 Bowman 1st Mojo Refractor #BCP-79 Chrome Prospect Tigers RC</t>
  </si>
  <si>
    <t>Shohei Ohtani 2025 Topps Series 2 Base #400 Los Angeles Dodgers</t>
  </si>
  <si>
    <t>2025 Topps Series 2 - 1990 Topps Baseball Cal Raleigh #90B2-13</t>
  </si>
  <si>
    <t>2025 Topps Series 2 - 1990 Topps Chrome Silver Pack All-Stars Nolan Ryan...</t>
  </si>
  <si>
    <t>2025 Topps Shohei Ohtani OPS Leaders #OPS-2 Dodgers</t>
  </si>
  <si>
    <t>2026 Topps Series 1 Baseball Bryan Woo #62 Spring Training Foil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</si>
</sst>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quot;$&quot;#,##0.00_-"/>
    <numFmt numFmtId="165" formatCode="0.0000"/>
    <numFmt numFmtId="166" formatCode="\$#,##0.00"/>
    <numFmt numFmtId="167" formatCode="0.0%"/>
  </numFmts>
  <fonts count="4" x14ac:knownFonts="1">
    <font>
      <sz val="11"/>
      <color theme="1"/>
      <name val="Calibri"/>
      <family val="2"/>
      <scheme val="minor"/>
    </font>
    <font>
      <b/>
      <sz val="11"/>
      <name val="Calibri"/>
    </font>
    <font>
      <b/>
      <sz val="11"/>
      <color rgb="FFFFFFFF"/>
      <name val="Calibri"/>
    </font>
    <font>
      <i/>
      <sz val="11"/>
      <color rgb="FF666666"/>
      <name val="Calibri"/>
    </font>
  </fonts>
  <fills count="4">
    <fill>
      <patternFill patternType="none"/>
    </fill>
    <fill>
      <patternFill patternType="gray125"/>
    </fill>
    <fill>
      <patternFill patternType="solid">
        <fgColor rgb="FF1F4E79"/>
      </patternFill>
    </fill>
    <fill>
      <patternFill patternType="solid">
        <fgColor rgb="FFFFFF00"/>
        <bgColor indexed="64"/>
      </patternFill>
    </fill>
  </fills>
  <borders count="2">
    <border>
      <left/>
      <right/>
      <top/>
      <bottom/>
      <diagonal/>
    </border>
    <border>
      <left style="thin">
        <color rgb="FFD9D9D9"/>
      </left>
      <right style="thin">
        <color rgb="FFD9D9D9"/>
      </right>
      <top style="thin">
        <color rgb="FFD9D9D9"/>
      </top>
      <bottom style="thin">
        <color rgb="FFD9D9D9"/>
      </bottom>
      <diagonal/>
    </border>
  </borders>
  <cellStyleXfs count="1">
    <xf numFmtId="0" fontId="0" fillId="0" borderId="0"/>
  </cellStyleXfs>
  <cellXfs count="20">
    <xf numFmtId="0" fontId="0" fillId="0" borderId="0" xfId="0"/>
    <xf numFmtId="0" fontId="1" fillId="0" borderId="0" xfId="0" applyFont="1"/>
    <xf numFmtId="0" fontId="2" fillId="2" borderId="1" xfId="0" applyFont="1" applyFill="1" applyBorder="1" applyAlignment="1">
      <alignment horizontal="center" vertical="center" wrapText="1"/>
    </xf>
    <xf numFmtId="0" fontId="3" fillId="0" borderId="0" xfId="0" applyFont="1" applyAlignment="1">
      <alignment wrapText="1"/>
    </xf>
    <xf numFmtId="0" fontId="2" fillId="2" borderId="1" xfId="0" applyFont="1" applyFill="1" applyBorder="1" applyAlignment="1">
      <alignment horizontal="center" vertical="center"/>
    </xf>
    <xf numFmtId="0" fontId="0" fillId="0" borderId="1" xfId="0" applyBorder="1" applyAlignment="1">
      <alignment vertical="center" wrapText="1"/>
    </xf>
    <xf numFmtId="1" fontId="0" fillId="0" borderId="1" xfId="0" applyNumberFormat="1" applyBorder="1" applyAlignment="1">
      <alignment vertical="center" wrapText="1"/>
    </xf>
    <xf numFmtId="164" fontId="0" fillId="0" borderId="1" xfId="0" applyNumberFormat="1" applyBorder="1" applyAlignment="1">
      <alignment vertical="center" wrapText="1"/>
    </xf>
    <xf numFmtId="165" fontId="0" fillId="0" borderId="1" xfId="0" applyNumberFormat="1" applyBorder="1" applyAlignment="1">
      <alignment vertical="center" wrapText="1"/>
    </xf>
    <xf numFmtId="166" fontId="0" fillId="0" borderId="0" xfId="0" applyNumberFormat="1"/>
    <xf numFmtId="167" fontId="0" fillId="0" borderId="0" xfId="0" applyNumberFormat="1"/>
    <xf numFmtId="14" fontId="0" fillId="0" borderId="0" xfId="0" applyNumberFormat="1"/>
    <xf numFmtId="1" fontId="0" fillId="0" borderId="0" xfId="0" applyNumberFormat="1"/>
    <xf numFmtId="0" fontId="0" fillId="3" borderId="0" xfId="0" applyFill="1"/>
    <xf numFmtId="166" fontId="0" fillId="3" borderId="0" xfId="0" applyNumberFormat="1" applyFill="1"/>
    <xf numFmtId="167" fontId="0" fillId="3" borderId="0" xfId="0" applyNumberFormat="1" applyFill="1"/>
    <xf numFmtId="14" fontId="0" fillId="3" borderId="0" xfId="0" applyNumberFormat="1" applyFill="1"/>
    <xf numFmtId="1" fontId="0" fillId="3" borderId="0" xfId="0" applyNumberFormat="1" applyFill="1"/>
    <xf numFmtId="0" fontId="3" fillId="0" borderId="0" xfId="0" applyFont="1" applyAlignment="1">
      <alignment wrapText="1"/>
    </xf>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E502"/>
  <sheetViews>
    <sheetView tabSelected="1" topLeftCell="J1" workbookViewId="0">
      <pane ySplit="1" topLeftCell="A2" activePane="bottomLeft" state="frozen"/>
      <selection pane="bottomLeft" activeCell="T17" sqref="T17"/>
    </sheetView>
  </sheetViews>
  <sheetFormatPr defaultRowHeight="15" x14ac:dyDescent="0.25"/>
  <cols>
    <col min="1" max="1" width="78.85546875" bestFit="1" customWidth="1"/>
    <col min="2" max="2" width="14" customWidth="1"/>
    <col min="3" max="3" width="18" customWidth="1"/>
    <col min="4" max="6" width="12" customWidth="1"/>
    <col min="7" max="7" width="10" customWidth="1"/>
    <col min="8" max="8" width="12" customWidth="1"/>
    <col min="9" max="9" width="18" customWidth="1"/>
    <col min="10" max="12" width="12" customWidth="1"/>
    <col min="13" max="14" width="16" customWidth="1"/>
    <col min="15" max="16" width="20" customWidth="1"/>
    <col min="17" max="17" width="18" customWidth="1"/>
    <col min="18" max="18" width="12" customWidth="1"/>
    <col min="19" max="19" width="18" customWidth="1"/>
    <col min="20" max="20" width="26" customWidth="1"/>
    <col min="21" max="21" width="28" customWidth="1"/>
    <col min="22" max="23" width="24" customWidth="1"/>
    <col min="24" max="25" width="18" customWidth="1"/>
    <col min="26" max="26" width="16" customWidth="1"/>
    <col min="27" max="27" width="20" customWidth="1"/>
    <col min="28" max="28" width="24" customWidth="1"/>
    <col min="29" max="30" width="14" customWidth="1"/>
    <col min="31" max="31" width="12" customWidth="1"/>
  </cols>
  <sheetData>
    <row r="1" spans="1:31" ht="30" x14ac:dyDescent="0.25">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2" t="s">
        <v>23</v>
      </c>
      <c r="Y1" s="2" t="s">
        <v>24</v>
      </c>
      <c r="Z1" s="2" t="s">
        <v>25</v>
      </c>
      <c r="AA1" s="2" t="s">
        <v>26</v>
      </c>
      <c r="AB1" s="2" t="s">
        <v>27</v>
      </c>
      <c r="AC1" s="2" t="s">
        <v>28</v>
      </c>
      <c r="AD1" s="2" t="s">
        <v>29</v>
      </c>
      <c r="AE1" s="2" t="s">
        <v>30</v>
      </c>
    </row>
    <row r="2" spans="1:31" x14ac:dyDescent="0.25">
      <c r="A2" t="s">
        <v>55</v>
      </c>
      <c r="B2" s="9">
        <v>0.35</v>
      </c>
      <c r="C2" t="s">
        <v>31</v>
      </c>
      <c r="D2" s="9">
        <f>IF($A2="","",1*'Material Costs'!$D$3)</f>
        <v>1.7160000000000002E-2</v>
      </c>
      <c r="E2" s="9">
        <f>IF($A2="","",1*'Material Costs'!$D$2)</f>
        <v>0.1699</v>
      </c>
      <c r="F2" s="9">
        <v>0</v>
      </c>
      <c r="G2" s="9">
        <f>IF($A2="","",1*'Material Costs'!$D$7)</f>
        <v>5.2499999999999998E-2</v>
      </c>
      <c r="H2" s="9">
        <f>IF($A2="","",IF($C2="Bubble Mailer",1,0)*'Material Costs'!$D$5)</f>
        <v>0</v>
      </c>
      <c r="I2" s="9">
        <f>IF($A2="","",IF($C2="ESE (Ding Defend)",1,0)*'Material Costs'!$D$4)</f>
        <v>0.22700000000000001</v>
      </c>
      <c r="J2" s="9">
        <v>1.03</v>
      </c>
      <c r="K2" s="9">
        <f t="shared" ref="K2:K64" si="0">IF($A2="","",SUM($B2:$J2))</f>
        <v>1.84656</v>
      </c>
      <c r="L2" s="9">
        <v>3.05</v>
      </c>
      <c r="M2" s="9">
        <v>1.49</v>
      </c>
      <c r="N2" s="9">
        <v>0.47</v>
      </c>
      <c r="O2" s="9">
        <f t="shared" ref="O2:O64" si="1">IF($A2="","",SUM($L2:$N2))</f>
        <v>5.01</v>
      </c>
      <c r="P2" s="9">
        <v>0.96</v>
      </c>
      <c r="Q2" s="9">
        <v>0</v>
      </c>
      <c r="R2" s="9">
        <v>0</v>
      </c>
      <c r="S2" s="9">
        <f t="shared" ref="S2:S64" si="2">IF($A2="","",IF($O2="", "", ROUND($O2 - IF($P2&lt;&gt;"",$P2,$Q2) - $R2,2)))</f>
        <v>4.05</v>
      </c>
      <c r="T2" s="9">
        <f t="shared" ref="T2:T64" si="3">IF($A2="","",IF($S2="", "", ROUND($S2 - $K2,2)))</f>
        <v>2.2000000000000002</v>
      </c>
      <c r="U2" s="9">
        <f>IF($A2="","",IF($K2="", "", ROUND((($K2 + Settings!$B$3 + $R2) - IF($M2="",0,$M2))/(1-Settings!$B$2),2)))</f>
        <v>0.76</v>
      </c>
      <c r="V2" s="9">
        <f>IF($A2="","",$L2-($L2*Settings!$B$2)-$J2-($B2+SUM($D2:$I2)))</f>
        <v>0.79931499999999978</v>
      </c>
      <c r="W2" s="9">
        <f>IF($A2="","",(($B2+SUM($D2:$I2)+$J2+Settings!$B$3)/(1-Settings!$B$2))-$M2)</f>
        <v>0.98442074927953915</v>
      </c>
      <c r="X2" s="10">
        <f t="shared" ref="X2:X64" si="4">IF($A2="","",IF($O2="", "", IFERROR($T2/$O2, "")))</f>
        <v>0.439121756487026</v>
      </c>
      <c r="Y2" s="10">
        <f t="shared" ref="Y2:Y64" si="5">IF($A2="","",IF($K2="", "", IFERROR($T2/$K2, "")))</f>
        <v>1.1914045576639807</v>
      </c>
      <c r="Z2" s="10">
        <f t="shared" ref="Z2:Z64" si="6">IF($A2="","",IF($O2="", "", IFERROR($Q2/$O2, "")))</f>
        <v>0</v>
      </c>
      <c r="AA2" s="10">
        <f t="shared" ref="AA2:AA64" si="7">IF($A2="","",IF($L2="", "", IFERROR($T2/$L2, "")))</f>
        <v>0.7213114754098362</v>
      </c>
      <c r="AC2" s="11"/>
      <c r="AD2" s="11"/>
      <c r="AE2" s="12" t="str">
        <f t="shared" ref="AE2:AE64" si="8">IF($A2="","",IF(OR($AC2="", $AD2=""),"", $AD2-$AC2))</f>
        <v/>
      </c>
    </row>
    <row r="3" spans="1:31" x14ac:dyDescent="0.25">
      <c r="A3" t="s">
        <v>56</v>
      </c>
      <c r="B3" s="9">
        <v>0.35</v>
      </c>
      <c r="C3" t="s">
        <v>31</v>
      </c>
      <c r="D3" s="9">
        <f>IF($A3="","",1*'Material Costs'!$D$3)</f>
        <v>1.7160000000000002E-2</v>
      </c>
      <c r="E3" s="9">
        <f>IF($A3="","",1*'Material Costs'!$D$2)</f>
        <v>0.1699</v>
      </c>
      <c r="F3" s="9">
        <f>IF($A3="","",IF($C3="Bubble Mailer",2,1)*'Material Costs'!$D$6)</f>
        <v>0.17119999999999999</v>
      </c>
      <c r="G3" s="9">
        <f>IF($A3="","",1*'Material Costs'!$D$7)</f>
        <v>5.2499999999999998E-2</v>
      </c>
      <c r="H3" s="9">
        <f>IF($A3="","",IF($C3="Bubble Mailer",1,0)*'Material Costs'!$D$5)</f>
        <v>0</v>
      </c>
      <c r="I3" s="9">
        <f>IF($A3="","",IF($C3="ESE (Ding Defend)",1,0)*'Material Costs'!$D$4)</f>
        <v>0.22700000000000001</v>
      </c>
      <c r="J3" s="9">
        <v>1.03</v>
      </c>
      <c r="K3" s="9">
        <f t="shared" si="0"/>
        <v>2.01776</v>
      </c>
      <c r="L3" s="9">
        <v>2.25</v>
      </c>
      <c r="M3" s="9">
        <v>1.49</v>
      </c>
      <c r="N3" s="9">
        <v>0</v>
      </c>
      <c r="O3" s="9">
        <f t="shared" si="1"/>
        <v>3.74</v>
      </c>
      <c r="P3" s="9"/>
      <c r="Q3" s="9">
        <f>IF($A3="","",IF($O3="", "", ROUND($O3*Settings!$B$2+Settings!$B$3,2)))</f>
        <v>0.8</v>
      </c>
      <c r="R3" s="9">
        <v>0</v>
      </c>
      <c r="S3" s="9">
        <f t="shared" si="2"/>
        <v>2.94</v>
      </c>
      <c r="T3" s="9">
        <f t="shared" si="3"/>
        <v>0.92</v>
      </c>
      <c r="U3" s="9">
        <f>IF($A3="","",IF($K3="", "", ROUND((($K3 + Settings!$B$3 + $R3) - IF($M3="",0,$M3))/(1-Settings!$B$2),2)))</f>
        <v>0.95</v>
      </c>
      <c r="V3" s="9">
        <f>IF($A3="","",$L3-($L3*Settings!$B$2)-$J3-($B3+SUM($D3:$I3)))</f>
        <v>-6.5884999999999971E-2</v>
      </c>
      <c r="W3" s="9">
        <f>IF($A3="","",(($B3+SUM($D3:$I3)+$J3+Settings!$B$3)/(1-Settings!$B$2))-$M3)</f>
        <v>1.1817694524495679</v>
      </c>
      <c r="X3" s="10">
        <f t="shared" si="4"/>
        <v>0.24598930481283421</v>
      </c>
      <c r="Y3" s="10">
        <f t="shared" si="5"/>
        <v>0.45595115375465867</v>
      </c>
      <c r="Z3" s="10">
        <f t="shared" si="6"/>
        <v>0.21390374331550802</v>
      </c>
      <c r="AA3" s="10">
        <f t="shared" si="7"/>
        <v>0.40888888888888891</v>
      </c>
      <c r="AC3" s="11"/>
      <c r="AD3" s="11"/>
      <c r="AE3" s="12" t="str">
        <f t="shared" si="8"/>
        <v/>
      </c>
    </row>
    <row r="4" spans="1:31" x14ac:dyDescent="0.25">
      <c r="A4" t="s">
        <v>57</v>
      </c>
      <c r="B4" s="9">
        <v>0.55000000000000004</v>
      </c>
      <c r="C4" t="s">
        <v>7</v>
      </c>
      <c r="D4" s="9">
        <f>IF($A4="","",1*'Material Costs'!$D$3)</f>
        <v>1.7160000000000002E-2</v>
      </c>
      <c r="E4" s="9">
        <f>IF($A4="","",1*'Material Costs'!$D$2)</f>
        <v>0.1699</v>
      </c>
      <c r="F4" s="9">
        <f>IF($A4="","",IF($C4="Bubble Mailer",2,1)*'Material Costs'!$D$6)</f>
        <v>0.34239999999999998</v>
      </c>
      <c r="G4" s="9">
        <f>IF($A4="","",1*'Material Costs'!$D$7)</f>
        <v>5.2499999999999998E-2</v>
      </c>
      <c r="H4" s="9">
        <f>IF($A4="","",IF($C4="Bubble Mailer",1,0)*'Material Costs'!$D$5)</f>
        <v>0.1976</v>
      </c>
      <c r="I4" s="9">
        <f>IF($A4="","",IF($C4="ESE (Ding Defend)",1,0)*'Material Costs'!$D$4)</f>
        <v>0</v>
      </c>
      <c r="J4" s="9">
        <v>4.78</v>
      </c>
      <c r="K4" s="9">
        <f t="shared" si="0"/>
        <v>6.1095600000000001</v>
      </c>
      <c r="L4" s="9">
        <v>42</v>
      </c>
      <c r="M4" s="9">
        <v>4.78</v>
      </c>
      <c r="N4" s="9">
        <v>0</v>
      </c>
      <c r="O4" s="9">
        <f t="shared" si="1"/>
        <v>46.78</v>
      </c>
      <c r="P4" s="9"/>
      <c r="Q4" s="9">
        <f>IF($A4="","",IF($O4="", "", ROUND($O4*Settings!$B$2+Settings!$B$3,2)))</f>
        <v>6.5</v>
      </c>
      <c r="R4" s="9">
        <v>0</v>
      </c>
      <c r="S4" s="9">
        <f t="shared" si="2"/>
        <v>40.28</v>
      </c>
      <c r="T4" s="9">
        <f t="shared" si="3"/>
        <v>34.17</v>
      </c>
      <c r="U4" s="9">
        <f>IF($A4="","",IF($K4="", "", ROUND((($K4 + Settings!$B$3 + $R4) - IF($M4="",0,$M4))/(1-Settings!$B$2),2)))</f>
        <v>1.88</v>
      </c>
      <c r="V4" s="9">
        <f>IF($A4="","",$L4-($L4*Settings!$B$2)-$J4-($B4+SUM($D4:$I4)))</f>
        <v>30.32544</v>
      </c>
      <c r="W4" s="9">
        <f>IF($A4="","",(($B4+SUM($D4:$I4)+$J4+Settings!$B$3)/(1-Settings!$B$2))-$M4)</f>
        <v>2.6085417867435163</v>
      </c>
      <c r="X4" s="10">
        <f t="shared" si="4"/>
        <v>0.73044035912783245</v>
      </c>
      <c r="Y4" s="10">
        <f t="shared" si="5"/>
        <v>5.592874118594465</v>
      </c>
      <c r="Z4" s="10">
        <f t="shared" si="6"/>
        <v>0.13894826849080805</v>
      </c>
      <c r="AA4" s="10">
        <f t="shared" si="7"/>
        <v>0.81357142857142861</v>
      </c>
      <c r="AC4" s="11"/>
      <c r="AD4" s="11"/>
      <c r="AE4" s="12" t="str">
        <f t="shared" si="8"/>
        <v/>
      </c>
    </row>
    <row r="5" spans="1:31" x14ac:dyDescent="0.25">
      <c r="A5" t="s">
        <v>58</v>
      </c>
      <c r="B5" s="9">
        <v>0.35</v>
      </c>
      <c r="C5" t="s">
        <v>31</v>
      </c>
      <c r="D5" s="9">
        <f>IF($A5="","",1*'Material Costs'!$D$3)</f>
        <v>1.7160000000000002E-2</v>
      </c>
      <c r="E5" s="9">
        <f>IF($A5="","",1*'Material Costs'!$D$2)</f>
        <v>0.1699</v>
      </c>
      <c r="F5" s="9">
        <f>IF($A5="","",IF($C5="Bubble Mailer",2,1)*'Material Costs'!$D$6)</f>
        <v>0.17119999999999999</v>
      </c>
      <c r="G5" s="9">
        <f>IF($A5="","",1*'Material Costs'!$D$7)</f>
        <v>5.2499999999999998E-2</v>
      </c>
      <c r="H5" s="9">
        <f>IF($A5="","",IF($C5="Bubble Mailer",1,0)*'Material Costs'!$D$5)</f>
        <v>0</v>
      </c>
      <c r="I5" s="9">
        <f>IF($A5="","",IF($C5="ESE (Ding Defend)",1,0)*'Material Costs'!$D$4)</f>
        <v>0.22700000000000001</v>
      </c>
      <c r="J5" s="9">
        <v>1.03</v>
      </c>
      <c r="K5" s="9">
        <f t="shared" si="0"/>
        <v>2.01776</v>
      </c>
      <c r="L5" s="9">
        <v>1.49</v>
      </c>
      <c r="M5" s="9">
        <v>1.49</v>
      </c>
      <c r="N5" s="9">
        <v>0</v>
      </c>
      <c r="O5" s="9">
        <f t="shared" si="1"/>
        <v>2.98</v>
      </c>
      <c r="P5" s="9"/>
      <c r="Q5" s="9">
        <f>IF($A5="","",IF($O5="", "", ROUND($O5*Settings!$B$2+Settings!$B$3,2)))</f>
        <v>0.69</v>
      </c>
      <c r="R5" s="9">
        <v>0</v>
      </c>
      <c r="S5" s="9">
        <f t="shared" si="2"/>
        <v>2.29</v>
      </c>
      <c r="T5" s="9">
        <f t="shared" si="3"/>
        <v>0.27</v>
      </c>
      <c r="U5" s="9">
        <f>IF($A5="","",IF($K5="", "", ROUND((($K5 + Settings!$B$3 + $R5) - IF($M5="",0,$M5))/(1-Settings!$B$2),2)))</f>
        <v>0.95</v>
      </c>
      <c r="V5" s="9">
        <f>IF($A5="","",$L5-($L5*Settings!$B$2)-$J5-($B5+SUM($D5:$I5)))</f>
        <v>-0.72518499999999997</v>
      </c>
      <c r="W5" s="9">
        <f>IF($A5="","",(($B5+SUM($D5:$I5)+$J5+Settings!$B$3)/(1-Settings!$B$2))-$M5)</f>
        <v>1.1817694524495679</v>
      </c>
      <c r="X5" s="10">
        <f t="shared" si="4"/>
        <v>9.0604026845637592E-2</v>
      </c>
      <c r="Y5" s="10">
        <f t="shared" si="5"/>
        <v>0.13381175164538894</v>
      </c>
      <c r="Z5" s="10">
        <f t="shared" si="6"/>
        <v>0.2315436241610738</v>
      </c>
      <c r="AA5" s="10">
        <f t="shared" si="7"/>
        <v>0.18120805369127518</v>
      </c>
      <c r="AC5" s="11"/>
      <c r="AD5" s="11"/>
      <c r="AE5" s="12" t="str">
        <f t="shared" si="8"/>
        <v/>
      </c>
    </row>
    <row r="6" spans="1:31" x14ac:dyDescent="0.25">
      <c r="A6" t="s">
        <v>59</v>
      </c>
      <c r="B6" s="9">
        <v>0.25</v>
      </c>
      <c r="C6" t="s">
        <v>7</v>
      </c>
      <c r="D6" s="9">
        <f>IF($A6="","",1*'Material Costs'!$D$3)</f>
        <v>1.7160000000000002E-2</v>
      </c>
      <c r="E6" s="9">
        <f>IF($A6="","",1*'Material Costs'!$D$2)</f>
        <v>0.1699</v>
      </c>
      <c r="F6" s="9">
        <f>IF($A6="","",IF($C6="Bubble Mailer",2,1)*'Material Costs'!$D$6)</f>
        <v>0.34239999999999998</v>
      </c>
      <c r="G6" s="9">
        <f>IF($A6="","",1*'Material Costs'!$D$7)</f>
        <v>5.2499999999999998E-2</v>
      </c>
      <c r="H6" s="9">
        <f>IF($A6="","",IF($C6="Bubble Mailer",1,0)*'Material Costs'!$D$5)</f>
        <v>0.1976</v>
      </c>
      <c r="I6" s="9">
        <f>IF($A6="","",IF($C6="ESE (Ding Defend)",1,0)*'Material Costs'!$D$4)</f>
        <v>0</v>
      </c>
      <c r="J6" s="9">
        <v>5.07</v>
      </c>
      <c r="K6" s="9">
        <f t="shared" si="0"/>
        <v>6.0995600000000003</v>
      </c>
      <c r="L6" s="9">
        <v>35</v>
      </c>
      <c r="M6" s="9">
        <v>5.07</v>
      </c>
      <c r="N6" s="9">
        <v>0</v>
      </c>
      <c r="O6" s="9">
        <f t="shared" si="1"/>
        <v>40.07</v>
      </c>
      <c r="P6" s="9">
        <v>5.71</v>
      </c>
      <c r="Q6" s="9">
        <f>IF($A6="","",IF($O6="", "", ROUND($O6*Settings!$B$2+Settings!$B$3,2)))</f>
        <v>5.61</v>
      </c>
      <c r="R6" s="9">
        <v>0</v>
      </c>
      <c r="S6" s="9">
        <f t="shared" si="2"/>
        <v>34.36</v>
      </c>
      <c r="T6" s="9">
        <f t="shared" si="3"/>
        <v>28.26</v>
      </c>
      <c r="U6" s="9">
        <f>IF($A6="","",IF($K6="", "", ROUND((($K6 + Settings!$B$3 + $R6) - IF($M6="",0,$M6))/(1-Settings!$B$2),2)))</f>
        <v>1.53</v>
      </c>
      <c r="V6" s="9">
        <f>IF($A6="","",$L6-($L6*Settings!$B$2)-$J6-($B6+SUM($D6:$I6)))</f>
        <v>24.26294</v>
      </c>
      <c r="W6" s="9">
        <f>IF($A6="","",(($B6+SUM($D6:$I6)+$J6+Settings!$B$3)/(1-Settings!$B$2))-$M6)</f>
        <v>2.3070144092219023</v>
      </c>
      <c r="X6" s="10">
        <f t="shared" si="4"/>
        <v>0.70526578487646618</v>
      </c>
      <c r="Y6" s="10">
        <f t="shared" si="5"/>
        <v>4.6331210775859244</v>
      </c>
      <c r="Z6" s="10">
        <f t="shared" si="6"/>
        <v>0.14000499126528576</v>
      </c>
      <c r="AA6" s="10">
        <f t="shared" si="7"/>
        <v>0.8074285714285715</v>
      </c>
      <c r="AC6" s="11"/>
      <c r="AD6" s="11"/>
      <c r="AE6" s="12" t="str">
        <f t="shared" si="8"/>
        <v/>
      </c>
    </row>
    <row r="7" spans="1:31" x14ac:dyDescent="0.25">
      <c r="A7" t="s">
        <v>60</v>
      </c>
      <c r="B7" s="9">
        <v>0.25</v>
      </c>
      <c r="C7" t="s">
        <v>31</v>
      </c>
      <c r="D7" s="9">
        <f>IF($A7="","",1*'Material Costs'!$D$3)</f>
        <v>1.7160000000000002E-2</v>
      </c>
      <c r="E7" s="9">
        <f>IF($A7="","",1*'Material Costs'!$D$2)</f>
        <v>0.1699</v>
      </c>
      <c r="F7" s="9">
        <f>IF($A7="","",IF($C7="Bubble Mailer",2,1)*'Material Costs'!$D$6)</f>
        <v>0.17119999999999999</v>
      </c>
      <c r="G7" s="9">
        <f>IF($A7="","",1*'Material Costs'!$D$7)</f>
        <v>5.2499999999999998E-2</v>
      </c>
      <c r="H7" s="9">
        <f>IF($A7="","",IF($C7="Bubble Mailer",1,0)*'Material Costs'!$D$5)</f>
        <v>0</v>
      </c>
      <c r="I7" s="9">
        <f>IF($A7="","",IF($C7="ESE (Ding Defend)",1,0)*'Material Costs'!$D$4)</f>
        <v>0.22700000000000001</v>
      </c>
      <c r="J7" s="9">
        <v>1.03</v>
      </c>
      <c r="K7" s="9">
        <f t="shared" si="0"/>
        <v>1.9177599999999999</v>
      </c>
      <c r="L7" s="9">
        <v>15</v>
      </c>
      <c r="M7" s="9">
        <v>1.49</v>
      </c>
      <c r="N7" s="9">
        <v>0.9</v>
      </c>
      <c r="O7" s="9">
        <f t="shared" si="1"/>
        <v>17.389999999999997</v>
      </c>
      <c r="P7" s="9">
        <v>2.7</v>
      </c>
      <c r="Q7" s="9">
        <f>IF($A7="","",IF($O7="", "", ROUND($O7*Settings!$B$2+Settings!$B$3,2)))</f>
        <v>2.6</v>
      </c>
      <c r="R7" s="9">
        <v>0</v>
      </c>
      <c r="S7" s="9">
        <f t="shared" si="2"/>
        <v>14.69</v>
      </c>
      <c r="T7" s="9">
        <f t="shared" si="3"/>
        <v>12.77</v>
      </c>
      <c r="U7" s="9">
        <f>IF($A7="","",IF($K7="", "", ROUND((($K7 + Settings!$B$3 + $R7) - IF($M7="",0,$M7))/(1-Settings!$B$2),2)))</f>
        <v>0.84</v>
      </c>
      <c r="V7" s="9">
        <f>IF($A7="","",$L7-($L7*Settings!$B$2)-$J7-($B7+SUM($D7:$I7)))</f>
        <v>11.09474</v>
      </c>
      <c r="W7" s="9">
        <f>IF($A7="","",(($B7+SUM($D7:$I7)+$J7+Settings!$B$3)/(1-Settings!$B$2))-$M7)</f>
        <v>1.0664956772334293</v>
      </c>
      <c r="X7" s="10">
        <f t="shared" si="4"/>
        <v>0.73433007475560674</v>
      </c>
      <c r="Y7" s="10">
        <f t="shared" si="5"/>
        <v>6.6588102786584349</v>
      </c>
      <c r="Z7" s="10">
        <f t="shared" si="6"/>
        <v>0.14951121334100059</v>
      </c>
      <c r="AA7" s="10">
        <f t="shared" si="7"/>
        <v>0.85133333333333328</v>
      </c>
      <c r="AC7" s="11"/>
      <c r="AD7" s="11"/>
      <c r="AE7" s="12" t="str">
        <f t="shared" si="8"/>
        <v/>
      </c>
    </row>
    <row r="8" spans="1:31" x14ac:dyDescent="0.25">
      <c r="A8" t="s">
        <v>61</v>
      </c>
      <c r="B8" s="9">
        <v>0.5</v>
      </c>
      <c r="C8" t="s">
        <v>31</v>
      </c>
      <c r="D8" s="9">
        <f>IF($A8="","",1*'Material Costs'!$D$3)</f>
        <v>1.7160000000000002E-2</v>
      </c>
      <c r="E8" s="9">
        <f>IF($A8="","",1*'Material Costs'!$D$2)</f>
        <v>0.1699</v>
      </c>
      <c r="F8" s="9">
        <v>0</v>
      </c>
      <c r="G8" s="9">
        <f>IF($A8="","",1*'Material Costs'!$D$7)</f>
        <v>5.2499999999999998E-2</v>
      </c>
      <c r="H8" s="9">
        <f>IF($A8="","",IF($C8="Bubble Mailer",1,0)*'Material Costs'!$D$5)</f>
        <v>0</v>
      </c>
      <c r="I8" s="9">
        <f>IF($A8="","",IF($C8="ESE (Ding Defend)",1,0)*'Material Costs'!$D$4)</f>
        <v>0.22700000000000001</v>
      </c>
      <c r="J8" s="9">
        <v>1.03</v>
      </c>
      <c r="K8" s="9">
        <f t="shared" si="0"/>
        <v>1.9965600000000001</v>
      </c>
      <c r="L8" s="9">
        <v>3.2</v>
      </c>
      <c r="M8" s="9">
        <v>1.49</v>
      </c>
      <c r="N8" s="9">
        <v>0.33</v>
      </c>
      <c r="O8" s="9">
        <f t="shared" si="1"/>
        <v>5.0200000000000005</v>
      </c>
      <c r="P8" s="9">
        <v>0.97</v>
      </c>
      <c r="Q8" s="9">
        <f>IF($A8="","",IF($O8="", "", ROUND($O8*Settings!$B$2+Settings!$B$3,2)))</f>
        <v>0.97</v>
      </c>
      <c r="R8" s="9">
        <v>0</v>
      </c>
      <c r="S8" s="9">
        <f t="shared" si="2"/>
        <v>4.05</v>
      </c>
      <c r="T8" s="9">
        <f t="shared" si="3"/>
        <v>2.0499999999999998</v>
      </c>
      <c r="U8" s="9">
        <f>IF($A8="","",IF($K8="", "", ROUND((($K8 + Settings!$B$3 + $R8) - IF($M8="",0,$M8))/(1-Settings!$B$2),2)))</f>
        <v>0.93</v>
      </c>
      <c r="V8" s="9">
        <f>IF($A8="","",$L8-($L8*Settings!$B$2)-$J8-($B8+SUM($D8:$I8)))</f>
        <v>0.77944000000000024</v>
      </c>
      <c r="W8" s="9">
        <f>IF($A8="","",(($B8+SUM($D8:$I8)+$J8+Settings!$B$3)/(1-Settings!$B$2))-$M8)</f>
        <v>1.1573314121037466</v>
      </c>
      <c r="X8" s="10">
        <f t="shared" si="4"/>
        <v>0.40836653386454175</v>
      </c>
      <c r="Y8" s="10">
        <f t="shared" si="5"/>
        <v>1.0267660375846455</v>
      </c>
      <c r="Z8" s="10">
        <f t="shared" si="6"/>
        <v>0.1932270916334661</v>
      </c>
      <c r="AA8" s="10">
        <f t="shared" si="7"/>
        <v>0.64062499999999989</v>
      </c>
      <c r="AC8" s="11"/>
      <c r="AD8" s="11"/>
      <c r="AE8" s="12" t="str">
        <f t="shared" si="8"/>
        <v/>
      </c>
    </row>
    <row r="9" spans="1:31" x14ac:dyDescent="0.25">
      <c r="A9" t="s">
        <v>62</v>
      </c>
      <c r="B9" s="9">
        <v>0.25</v>
      </c>
      <c r="C9" t="s">
        <v>31</v>
      </c>
      <c r="D9" s="9">
        <f>IF($A9="","",1*'Material Costs'!$D$3)</f>
        <v>1.7160000000000002E-2</v>
      </c>
      <c r="E9" s="9">
        <f>IF($A9="","",1*'Material Costs'!$D$2)</f>
        <v>0.1699</v>
      </c>
      <c r="F9" s="9">
        <v>0</v>
      </c>
      <c r="G9" s="9">
        <f>IF($A9="","",1*'Material Costs'!$D$7)</f>
        <v>5.2499999999999998E-2</v>
      </c>
      <c r="H9" s="9">
        <f>IF($A9="","",IF($C9="Bubble Mailer",1,0)*'Material Costs'!$D$5)</f>
        <v>0</v>
      </c>
      <c r="I9" s="9">
        <f>IF($A9="","",IF($C9="ESE (Ding Defend)",1,0)*'Material Costs'!$D$4)</f>
        <v>0.22700000000000001</v>
      </c>
      <c r="J9" s="9">
        <v>1.03</v>
      </c>
      <c r="K9" s="9">
        <f t="shared" si="0"/>
        <v>1.7465600000000001</v>
      </c>
      <c r="L9" s="9">
        <v>1.95</v>
      </c>
      <c r="M9" s="9">
        <v>1.49</v>
      </c>
      <c r="N9" s="9">
        <v>0</v>
      </c>
      <c r="O9" s="9">
        <f t="shared" si="1"/>
        <v>3.44</v>
      </c>
      <c r="P9" s="9"/>
      <c r="Q9" s="9">
        <f>IF($A9="","",IF($O9="", "", ROUND($O9*Settings!$B$2+Settings!$B$3,2)))</f>
        <v>0.76</v>
      </c>
      <c r="R9" s="9">
        <v>0</v>
      </c>
      <c r="S9" s="9">
        <f t="shared" si="2"/>
        <v>2.68</v>
      </c>
      <c r="T9" s="9">
        <f t="shared" si="3"/>
        <v>0.93</v>
      </c>
      <c r="U9" s="9">
        <f>IF($A9="","",IF($K9="", "", ROUND((($K9 + Settings!$B$3 + $R9) - IF($M9="",0,$M9))/(1-Settings!$B$2),2)))</f>
        <v>0.64</v>
      </c>
      <c r="V9" s="9">
        <f>IF($A9="","",$L9-($L9*Settings!$B$2)-$J9-($B9+SUM($D9:$I9)))</f>
        <v>-5.4935000000000067E-2</v>
      </c>
      <c r="W9" s="9">
        <f>IF($A9="","",(($B9+SUM($D9:$I9)+$J9+Settings!$B$3)/(1-Settings!$B$2))-$M9)</f>
        <v>0.86914697406340058</v>
      </c>
      <c r="X9" s="10">
        <f t="shared" si="4"/>
        <v>0.27034883720930236</v>
      </c>
      <c r="Y9" s="10">
        <f t="shared" si="5"/>
        <v>0.53247526566507875</v>
      </c>
      <c r="Z9" s="10">
        <f t="shared" si="6"/>
        <v>0.22093023255813954</v>
      </c>
      <c r="AA9" s="10">
        <f t="shared" si="7"/>
        <v>0.47692307692307695</v>
      </c>
      <c r="AC9" s="11"/>
      <c r="AD9" s="11"/>
      <c r="AE9" s="12" t="str">
        <f t="shared" si="8"/>
        <v/>
      </c>
    </row>
    <row r="10" spans="1:31" x14ac:dyDescent="0.25">
      <c r="A10" t="s">
        <v>63</v>
      </c>
      <c r="B10" s="9">
        <v>0.55000000000000004</v>
      </c>
      <c r="C10" t="s">
        <v>31</v>
      </c>
      <c r="D10" s="9">
        <f>IF($A10="","",1*'Material Costs'!$D$3)</f>
        <v>1.7160000000000002E-2</v>
      </c>
      <c r="E10" s="9">
        <f>IF($A10="","",1*'Material Costs'!$D$2)</f>
        <v>0.1699</v>
      </c>
      <c r="F10" s="9">
        <v>0</v>
      </c>
      <c r="G10" s="9">
        <f>IF($A10="","",1*'Material Costs'!$D$7)</f>
        <v>5.2499999999999998E-2</v>
      </c>
      <c r="H10" s="9">
        <f>IF($A10="","",IF($C10="Bubble Mailer",1,0)*'Material Costs'!$D$5)</f>
        <v>0</v>
      </c>
      <c r="I10" s="9">
        <f>IF($A10="","",IF($C10="ESE (Ding Defend)",1,0)*'Material Costs'!$D$4)</f>
        <v>0.22700000000000001</v>
      </c>
      <c r="J10" s="9">
        <v>1.03</v>
      </c>
      <c r="K10" s="9">
        <f t="shared" si="0"/>
        <v>2.0465600000000004</v>
      </c>
      <c r="L10" s="9">
        <v>6.5</v>
      </c>
      <c r="M10" s="9">
        <v>1.49</v>
      </c>
      <c r="N10" s="9">
        <v>0</v>
      </c>
      <c r="O10" s="9">
        <f t="shared" si="1"/>
        <v>7.99</v>
      </c>
      <c r="P10" s="9">
        <v>1.36</v>
      </c>
      <c r="Q10" s="9">
        <f>IF($A10="","",IF($O10="", "", ROUND($O10*Settings!$B$2+Settings!$B$3,2)))</f>
        <v>1.36</v>
      </c>
      <c r="R10" s="9">
        <v>0</v>
      </c>
      <c r="S10" s="9">
        <f t="shared" si="2"/>
        <v>6.63</v>
      </c>
      <c r="T10" s="9">
        <f t="shared" si="3"/>
        <v>4.58</v>
      </c>
      <c r="U10" s="9">
        <f>IF($A10="","",IF($K10="", "", ROUND((($K10 + Settings!$B$3 + $R10) - IF($M10="",0,$M10))/(1-Settings!$B$2),2)))</f>
        <v>0.99</v>
      </c>
      <c r="V10" s="9">
        <f>IF($A10="","",$L10-($L10*Settings!$B$2)-$J10-($B10+SUM($D10:$I10)))</f>
        <v>3.5921899999999996</v>
      </c>
      <c r="W10" s="9">
        <f>IF($A10="","",(($B10+SUM($D10:$I10)+$J10+Settings!$B$3)/(1-Settings!$B$2))-$M10)</f>
        <v>1.2149682997118159</v>
      </c>
      <c r="X10" s="10">
        <f t="shared" si="4"/>
        <v>0.57321652065081352</v>
      </c>
      <c r="Y10" s="10">
        <f t="shared" si="5"/>
        <v>2.2379016495973727</v>
      </c>
      <c r="Z10" s="10">
        <f t="shared" si="6"/>
        <v>0.1702127659574468</v>
      </c>
      <c r="AA10" s="10">
        <f t="shared" si="7"/>
        <v>0.70461538461538464</v>
      </c>
      <c r="AC10" s="11"/>
      <c r="AD10" s="11"/>
      <c r="AE10" s="12" t="str">
        <f t="shared" si="8"/>
        <v/>
      </c>
    </row>
    <row r="11" spans="1:31" x14ac:dyDescent="0.25">
      <c r="A11" t="s">
        <v>64</v>
      </c>
      <c r="B11" s="9">
        <v>0.25</v>
      </c>
      <c r="C11" t="s">
        <v>31</v>
      </c>
      <c r="D11" s="9">
        <f>IF($A11="","",1*'Material Costs'!$D$3)</f>
        <v>1.7160000000000002E-2</v>
      </c>
      <c r="E11" s="9">
        <f>IF($A11="","",1*'Material Costs'!$D$2)</f>
        <v>0.1699</v>
      </c>
      <c r="F11" s="9">
        <v>0</v>
      </c>
      <c r="G11" s="9">
        <f>IF($A11="","",1*'Material Costs'!$D$7)</f>
        <v>5.2499999999999998E-2</v>
      </c>
      <c r="H11" s="9">
        <f>IF($A11="","",IF($C11="Bubble Mailer",1,0)*'Material Costs'!$D$5)</f>
        <v>0</v>
      </c>
      <c r="I11" s="9">
        <f>IF($A11="","",IF($C11="ESE (Ding Defend)",1,0)*'Material Costs'!$D$4)</f>
        <v>0.22700000000000001</v>
      </c>
      <c r="J11" s="9">
        <v>1.03</v>
      </c>
      <c r="K11" s="9">
        <f t="shared" si="0"/>
        <v>1.7465600000000001</v>
      </c>
      <c r="L11" s="9">
        <v>1.65</v>
      </c>
      <c r="M11" s="9">
        <v>1.49</v>
      </c>
      <c r="N11" s="9">
        <v>0</v>
      </c>
      <c r="O11" s="9">
        <f t="shared" si="1"/>
        <v>3.1399999999999997</v>
      </c>
      <c r="P11" s="9"/>
      <c r="Q11" s="9">
        <f>IF($A11="","",IF($O11="", "", ROUND($O11*Settings!$B$2+Settings!$B$3,2)))</f>
        <v>0.72</v>
      </c>
      <c r="R11" s="9">
        <v>0</v>
      </c>
      <c r="S11" s="9">
        <f t="shared" si="2"/>
        <v>2.42</v>
      </c>
      <c r="T11" s="9">
        <f t="shared" si="3"/>
        <v>0.67</v>
      </c>
      <c r="U11" s="9">
        <f>IF($A11="","",IF($K11="", "", ROUND((($K11 + Settings!$B$3 + $R11) - IF($M11="",0,$M11))/(1-Settings!$B$2),2)))</f>
        <v>0.64</v>
      </c>
      <c r="V11" s="9">
        <f>IF($A11="","",$L11-($L11*Settings!$B$2)-$J11-($B11+SUM($D11:$I11)))</f>
        <v>-0.31518500000000016</v>
      </c>
      <c r="W11" s="9">
        <f>IF($A11="","",(($B11+SUM($D11:$I11)+$J11+Settings!$B$3)/(1-Settings!$B$2))-$M11)</f>
        <v>0.86914697406340058</v>
      </c>
      <c r="X11" s="10">
        <f t="shared" si="4"/>
        <v>0.21337579617834398</v>
      </c>
      <c r="Y11" s="10">
        <f t="shared" si="5"/>
        <v>0.38361121289849759</v>
      </c>
      <c r="Z11" s="10">
        <f t="shared" si="6"/>
        <v>0.22929936305732485</v>
      </c>
      <c r="AA11" s="10">
        <f t="shared" si="7"/>
        <v>0.40606060606060612</v>
      </c>
      <c r="AC11" s="11"/>
      <c r="AD11" s="11"/>
      <c r="AE11" s="12" t="str">
        <f t="shared" si="8"/>
        <v/>
      </c>
    </row>
    <row r="12" spans="1:31" x14ac:dyDescent="0.25">
      <c r="A12" t="s">
        <v>65</v>
      </c>
      <c r="B12" s="9">
        <v>0.25</v>
      </c>
      <c r="C12" t="s">
        <v>31</v>
      </c>
      <c r="D12" s="9">
        <f>IF($A12="","",1*'Material Costs'!$D$3)</f>
        <v>1.7160000000000002E-2</v>
      </c>
      <c r="E12" s="9">
        <f>IF($A12="","",1*'Material Costs'!$D$2)</f>
        <v>0.1699</v>
      </c>
      <c r="F12" s="9">
        <v>0</v>
      </c>
      <c r="G12" s="9">
        <f>IF($A12="","",1*'Material Costs'!$D$7)</f>
        <v>5.2499999999999998E-2</v>
      </c>
      <c r="H12" s="9">
        <f>IF($A12="","",IF($C12="Bubble Mailer",1,0)*'Material Costs'!$D$5)</f>
        <v>0</v>
      </c>
      <c r="I12" s="9">
        <f>IF($A12="","",IF($C12="ESE (Ding Defend)",1,0)*'Material Costs'!$D$4)</f>
        <v>0.22700000000000001</v>
      </c>
      <c r="J12" s="9">
        <v>1.03</v>
      </c>
      <c r="K12" s="9">
        <f t="shared" si="0"/>
        <v>1.7465600000000001</v>
      </c>
      <c r="L12" s="9">
        <v>2.4500000000000002</v>
      </c>
      <c r="M12" s="9">
        <v>1.49</v>
      </c>
      <c r="N12" s="9">
        <v>0</v>
      </c>
      <c r="O12" s="9">
        <f t="shared" si="1"/>
        <v>3.9400000000000004</v>
      </c>
      <c r="P12" s="9"/>
      <c r="Q12" s="9">
        <f>IF($A12="","",IF($O12="", "", ROUND($O12*Settings!$B$2+Settings!$B$3,2)))</f>
        <v>0.82</v>
      </c>
      <c r="R12" s="9">
        <v>0</v>
      </c>
      <c r="S12" s="9">
        <f t="shared" si="2"/>
        <v>3.12</v>
      </c>
      <c r="T12" s="9">
        <f t="shared" si="3"/>
        <v>1.37</v>
      </c>
      <c r="U12" s="9">
        <f>IF($A12="","",IF($K12="", "", ROUND((($K12 + Settings!$B$3 + $R12) - IF($M12="",0,$M12))/(1-Settings!$B$2),2)))</f>
        <v>0.64</v>
      </c>
      <c r="V12" s="9">
        <f>IF($A12="","",$L12-($L12*Settings!$B$2)-$J12-($B12+SUM($D12:$I12)))</f>
        <v>0.37881500000000001</v>
      </c>
      <c r="W12" s="9">
        <f>IF($A12="","",(($B12+SUM($D12:$I12)+$J12+Settings!$B$3)/(1-Settings!$B$2))-$M12)</f>
        <v>0.86914697406340058</v>
      </c>
      <c r="X12" s="10">
        <f t="shared" si="4"/>
        <v>0.34771573604060912</v>
      </c>
      <c r="Y12" s="10">
        <f t="shared" si="5"/>
        <v>0.78439904727006227</v>
      </c>
      <c r="Z12" s="10">
        <f t="shared" si="6"/>
        <v>0.20812182741116747</v>
      </c>
      <c r="AA12" s="10">
        <f t="shared" si="7"/>
        <v>0.5591836734693878</v>
      </c>
      <c r="AC12" s="11"/>
      <c r="AD12" s="11"/>
      <c r="AE12" s="12" t="str">
        <f t="shared" si="8"/>
        <v/>
      </c>
    </row>
    <row r="13" spans="1:31" x14ac:dyDescent="0.25">
      <c r="A13" t="s">
        <v>66</v>
      </c>
      <c r="B13" s="9">
        <v>0.34</v>
      </c>
      <c r="C13" t="s">
        <v>31</v>
      </c>
      <c r="D13" s="9">
        <f>IF($A13="","",1*'Material Costs'!$D$3)</f>
        <v>1.7160000000000002E-2</v>
      </c>
      <c r="E13" s="9">
        <f>IF($A13="","",1*'Material Costs'!$D$2)</f>
        <v>0.1699</v>
      </c>
      <c r="F13" s="9">
        <v>0</v>
      </c>
      <c r="G13" s="9">
        <f>IF($A13="","",1*'Material Costs'!$D$7)</f>
        <v>5.2499999999999998E-2</v>
      </c>
      <c r="H13" s="9">
        <f>IF($A13="","",IF($C13="Bubble Mailer",1,0)*'Material Costs'!$D$5)</f>
        <v>0</v>
      </c>
      <c r="I13" s="9">
        <f>IF($A13="","",IF($C13="ESE (Ding Defend)",1,0)*'Material Costs'!$D$4)</f>
        <v>0.22700000000000001</v>
      </c>
      <c r="J13" s="9">
        <v>1.03</v>
      </c>
      <c r="K13" s="9">
        <f t="shared" si="0"/>
        <v>1.83656</v>
      </c>
      <c r="L13" s="9">
        <v>2.25</v>
      </c>
      <c r="M13" s="9">
        <v>1.49</v>
      </c>
      <c r="N13" s="9">
        <v>0.17</v>
      </c>
      <c r="O13" s="9">
        <f t="shared" si="1"/>
        <v>3.91</v>
      </c>
      <c r="P13" s="9">
        <v>0.82</v>
      </c>
      <c r="Q13" s="9">
        <f>IF($A13="","",IF($O13="", "", ROUND($O13*Settings!$B$2+Settings!$B$3,2)))</f>
        <v>0.82</v>
      </c>
      <c r="R13" s="9">
        <v>0</v>
      </c>
      <c r="S13" s="9">
        <f t="shared" si="2"/>
        <v>3.09</v>
      </c>
      <c r="T13" s="9">
        <f t="shared" si="3"/>
        <v>1.25</v>
      </c>
      <c r="U13" s="9">
        <f>IF($A13="","",IF($K13="", "", ROUND((($K13 + Settings!$B$3 + $R13) - IF($M13="",0,$M13))/(1-Settings!$B$2),2)))</f>
        <v>0.75</v>
      </c>
      <c r="V13" s="9">
        <f>IF($A13="","",$L13-($L13*Settings!$B$2)-$J13-($B13+SUM($D13:$I13)))</f>
        <v>0.11531500000000006</v>
      </c>
      <c r="W13" s="9">
        <f>IF($A13="","",(($B13+SUM($D13:$I13)+$J13+Settings!$B$3)/(1-Settings!$B$2))-$M13)</f>
        <v>0.97289337175792512</v>
      </c>
      <c r="X13" s="10">
        <f t="shared" si="4"/>
        <v>0.31969309462915602</v>
      </c>
      <c r="Y13" s="10">
        <f t="shared" si="5"/>
        <v>0.68062029010759251</v>
      </c>
      <c r="Z13" s="10">
        <f t="shared" si="6"/>
        <v>0.20971867007672632</v>
      </c>
      <c r="AA13" s="10">
        <f t="shared" si="7"/>
        <v>0.55555555555555558</v>
      </c>
      <c r="AC13" s="11"/>
      <c r="AD13" s="11"/>
      <c r="AE13" s="12" t="str">
        <f t="shared" si="8"/>
        <v/>
      </c>
    </row>
    <row r="14" spans="1:31" x14ac:dyDescent="0.25">
      <c r="A14" t="s">
        <v>67</v>
      </c>
      <c r="B14" s="9">
        <v>1.85</v>
      </c>
      <c r="C14" t="s">
        <v>31</v>
      </c>
      <c r="D14" s="9">
        <f>IF($A14="","",1*'Material Costs'!$D$3)</f>
        <v>1.7160000000000002E-2</v>
      </c>
      <c r="E14" s="9">
        <f>IF($A14="","",1*'Material Costs'!$D$2)</f>
        <v>0.1699</v>
      </c>
      <c r="F14" s="9">
        <v>0</v>
      </c>
      <c r="G14" s="9">
        <f>IF($A14="","",1*'Material Costs'!$D$7)</f>
        <v>5.2499999999999998E-2</v>
      </c>
      <c r="H14" s="9">
        <f>IF($A14="","",IF($C14="Bubble Mailer",1,0)*'Material Costs'!$D$5)</f>
        <v>0</v>
      </c>
      <c r="I14" s="9">
        <f>IF($A14="","",IF($C14="ESE (Ding Defend)",1,0)*'Material Costs'!$D$4)</f>
        <v>0.22700000000000001</v>
      </c>
      <c r="J14" s="9">
        <v>1.03</v>
      </c>
      <c r="K14" s="9">
        <f t="shared" si="0"/>
        <v>3.3465600000000002</v>
      </c>
      <c r="L14" s="9">
        <v>3.5</v>
      </c>
      <c r="M14" s="9">
        <v>1.49</v>
      </c>
      <c r="N14" s="9"/>
      <c r="O14" s="9">
        <f t="shared" si="1"/>
        <v>4.99</v>
      </c>
      <c r="P14" s="9"/>
      <c r="Q14" s="9">
        <f>IF($A14="","",IF($O14="", "", ROUND($O14*Settings!$B$2+Settings!$B$3,2)))</f>
        <v>0.96</v>
      </c>
      <c r="R14" s="9">
        <v>0</v>
      </c>
      <c r="S14" s="9">
        <f t="shared" si="2"/>
        <v>4.03</v>
      </c>
      <c r="T14" s="9">
        <f t="shared" si="3"/>
        <v>0.68</v>
      </c>
      <c r="U14" s="9">
        <f>IF($A14="","",IF($K14="", "", ROUND((($K14 + Settings!$B$3 + $R14) - IF($M14="",0,$M14))/(1-Settings!$B$2),2)))</f>
        <v>2.4900000000000002</v>
      </c>
      <c r="V14" s="9">
        <f>IF($A14="","",$L14-($L14*Settings!$B$2)-$J14-($B14+SUM($D14:$I14)))</f>
        <v>-0.31031000000000031</v>
      </c>
      <c r="W14" s="9">
        <f>IF($A14="","",(($B14+SUM($D14:$I14)+$J14+Settings!$B$3)/(1-Settings!$B$2))-$M14)</f>
        <v>2.713527377521614</v>
      </c>
      <c r="X14" s="10">
        <f t="shared" si="4"/>
        <v>0.13627254509018036</v>
      </c>
      <c r="Y14" s="10">
        <f t="shared" si="5"/>
        <v>0.20319372729011284</v>
      </c>
      <c r="Z14" s="10">
        <f t="shared" si="6"/>
        <v>0.19238476953907815</v>
      </c>
      <c r="AA14" s="10">
        <f t="shared" si="7"/>
        <v>0.19428571428571431</v>
      </c>
      <c r="AC14" s="11"/>
      <c r="AD14" s="11"/>
      <c r="AE14" s="12" t="str">
        <f t="shared" si="8"/>
        <v/>
      </c>
    </row>
    <row r="15" spans="1:31" s="13" customFormat="1" x14ac:dyDescent="0.25">
      <c r="A15" s="13" t="s">
        <v>68</v>
      </c>
      <c r="B15" s="14">
        <v>0</v>
      </c>
      <c r="C15" s="13" t="s">
        <v>31</v>
      </c>
      <c r="D15" s="14">
        <f>IF($A15="","",1*'Material Costs'!$D$3)</f>
        <v>1.7160000000000002E-2</v>
      </c>
      <c r="E15" s="14">
        <f>IF($A15="","",1*'Material Costs'!$D$2)</f>
        <v>0.1699</v>
      </c>
      <c r="F15" s="14">
        <v>0</v>
      </c>
      <c r="G15" s="14">
        <f>IF($A15="","",1*'Material Costs'!$D$7)</f>
        <v>5.2499999999999998E-2</v>
      </c>
      <c r="H15" s="14">
        <f>IF($A15="","",IF($C15="Bubble Mailer",1,0)*'Material Costs'!$D$5)</f>
        <v>0</v>
      </c>
      <c r="I15" s="14">
        <f>IF($A15="","",IF($C15="ESE (Ding Defend)",1,0)*'Material Costs'!$D$4)</f>
        <v>0.22700000000000001</v>
      </c>
      <c r="J15" s="14">
        <v>1.03</v>
      </c>
      <c r="K15" s="14">
        <f t="shared" si="0"/>
        <v>1.4965600000000001</v>
      </c>
      <c r="L15" s="14">
        <v>5.99</v>
      </c>
      <c r="M15" s="14">
        <v>0</v>
      </c>
      <c r="N15" s="14"/>
      <c r="O15" s="14">
        <f t="shared" si="1"/>
        <v>5.99</v>
      </c>
      <c r="P15" s="14"/>
      <c r="Q15" s="14">
        <f>IF($A15="","",IF($O15="", "", ROUND($O15*Settings!$B$2+Settings!$B$3,2)))</f>
        <v>1.0900000000000001</v>
      </c>
      <c r="R15" s="14">
        <v>0</v>
      </c>
      <c r="S15" s="14">
        <f t="shared" si="2"/>
        <v>4.9000000000000004</v>
      </c>
      <c r="T15" s="14">
        <f t="shared" si="3"/>
        <v>3.4</v>
      </c>
      <c r="U15" s="14">
        <f>IF($A15="","",IF($K15="", "", ROUND((($K15 + Settings!$B$3 + $R15) - IF($M15="",0,$M15))/(1-Settings!$B$2),2)))</f>
        <v>2.0699999999999998</v>
      </c>
      <c r="V15" s="14">
        <f>IF($A15="","",$L15-($L15*Settings!$B$2)-$J15-($B15+SUM($D15:$I15)))</f>
        <v>3.6997649999999997</v>
      </c>
      <c r="W15" s="14">
        <f>IF($A15="","",(($B15+SUM($D15:$I15)+$J15+Settings!$B$3)/(1-Settings!$B$2))-$M15)</f>
        <v>2.070962536023055</v>
      </c>
      <c r="X15" s="15">
        <f t="shared" si="4"/>
        <v>0.56761268781302165</v>
      </c>
      <c r="Y15" s="15">
        <f t="shared" si="5"/>
        <v>2.2718768375474419</v>
      </c>
      <c r="Z15" s="15">
        <f t="shared" si="6"/>
        <v>0.18196994991652754</v>
      </c>
      <c r="AA15" s="15">
        <f t="shared" si="7"/>
        <v>0.56761268781302165</v>
      </c>
      <c r="AC15" s="16"/>
      <c r="AD15" s="16"/>
      <c r="AE15" s="17" t="str">
        <f t="shared" si="8"/>
        <v/>
      </c>
    </row>
    <row r="16" spans="1:31" s="13" customFormat="1" x14ac:dyDescent="0.25">
      <c r="A16" s="13" t="s">
        <v>69</v>
      </c>
      <c r="B16" s="14">
        <v>0.25</v>
      </c>
      <c r="C16" s="13" t="s">
        <v>31</v>
      </c>
      <c r="D16" s="14">
        <f>IF($A16="","",1*'Material Costs'!$D$3)</f>
        <v>1.7160000000000002E-2</v>
      </c>
      <c r="E16" s="14">
        <f>IF($A16="","",1*'Material Costs'!$D$2)</f>
        <v>0.1699</v>
      </c>
      <c r="F16" s="14">
        <v>0</v>
      </c>
      <c r="G16" s="14">
        <f>IF($A16="","",1*'Material Costs'!$D$7)</f>
        <v>5.2499999999999998E-2</v>
      </c>
      <c r="H16" s="14">
        <f>IF($A16="","",IF($C16="Bubble Mailer",1,0)*'Material Costs'!$D$5)</f>
        <v>0</v>
      </c>
      <c r="I16" s="14">
        <f>IF($A16="","",IF($C16="ESE (Ding Defend)",1,0)*'Material Costs'!$D$4)</f>
        <v>0.22700000000000001</v>
      </c>
      <c r="J16" s="14">
        <v>1.03</v>
      </c>
      <c r="K16" s="14">
        <f t="shared" si="0"/>
        <v>1.7465600000000001</v>
      </c>
      <c r="L16" s="14">
        <v>3.99</v>
      </c>
      <c r="M16" s="14">
        <v>0</v>
      </c>
      <c r="N16" s="14"/>
      <c r="O16" s="14">
        <f t="shared" si="1"/>
        <v>3.99</v>
      </c>
      <c r="P16" s="14"/>
      <c r="Q16" s="14">
        <f>IF($A16="","",IF($O16="", "", ROUND($O16*Settings!$B$2+Settings!$B$3,2)))</f>
        <v>0.83</v>
      </c>
      <c r="R16" s="14">
        <v>0</v>
      </c>
      <c r="S16" s="14">
        <f t="shared" si="2"/>
        <v>3.16</v>
      </c>
      <c r="T16" s="14">
        <f t="shared" si="3"/>
        <v>1.41</v>
      </c>
      <c r="U16" s="14">
        <f>IF($A16="","",IF($K16="", "", ROUND((($K16 + Settings!$B$3 + $R16) - IF($M16="",0,$M16))/(1-Settings!$B$2),2)))</f>
        <v>2.36</v>
      </c>
      <c r="V16" s="14">
        <f>IF($A16="","",$L16-($L16*Settings!$B$2)-$J16-($B16+SUM($D16:$I16)))</f>
        <v>1.7147650000000003</v>
      </c>
      <c r="W16" s="14">
        <f>IF($A16="","",(($B16+SUM($D16:$I16)+$J16+Settings!$B$3)/(1-Settings!$B$2))-$M16)</f>
        <v>2.3591469740634006</v>
      </c>
      <c r="X16" s="15">
        <f t="shared" si="4"/>
        <v>0.35338345864661652</v>
      </c>
      <c r="Y16" s="15">
        <f t="shared" si="5"/>
        <v>0.80730120923415161</v>
      </c>
      <c r="Z16" s="15">
        <f t="shared" si="6"/>
        <v>0.20802005012531327</v>
      </c>
      <c r="AA16" s="15">
        <f t="shared" si="7"/>
        <v>0.35338345864661652</v>
      </c>
      <c r="AC16" s="16"/>
      <c r="AD16" s="16"/>
      <c r="AE16" s="17" t="str">
        <f t="shared" si="8"/>
        <v/>
      </c>
    </row>
    <row r="17" spans="1:31" s="13" customFormat="1" x14ac:dyDescent="0.25">
      <c r="A17" s="13" t="s">
        <v>70</v>
      </c>
      <c r="B17" s="14">
        <v>0</v>
      </c>
      <c r="C17" s="13" t="s">
        <v>31</v>
      </c>
      <c r="D17" s="14">
        <f>IF($A17="","",1*'Material Costs'!$D$3)</f>
        <v>1.7160000000000002E-2</v>
      </c>
      <c r="E17" s="14">
        <f>IF($A17="","",1*'Material Costs'!$D$2)</f>
        <v>0.1699</v>
      </c>
      <c r="F17" s="14">
        <v>0</v>
      </c>
      <c r="G17" s="14">
        <f>IF($A17="","",1*'Material Costs'!$D$7)</f>
        <v>5.2499999999999998E-2</v>
      </c>
      <c r="H17" s="14">
        <f>IF($A17="","",IF($C17="Bubble Mailer",1,0)*'Material Costs'!$D$5)</f>
        <v>0</v>
      </c>
      <c r="I17" s="14">
        <f>IF($A17="","",IF($C17="ESE (Ding Defend)",1,0)*'Material Costs'!$D$4)</f>
        <v>0.22700000000000001</v>
      </c>
      <c r="J17" s="14">
        <v>1.03</v>
      </c>
      <c r="K17" s="14">
        <f t="shared" si="0"/>
        <v>1.4965600000000001</v>
      </c>
      <c r="L17" s="14">
        <v>4</v>
      </c>
      <c r="M17" s="14">
        <v>0</v>
      </c>
      <c r="N17" s="14">
        <v>0.33</v>
      </c>
      <c r="O17" s="14">
        <v>4</v>
      </c>
      <c r="P17" s="14">
        <v>0.87</v>
      </c>
      <c r="Q17" s="14">
        <v>0.87</v>
      </c>
      <c r="R17" s="14">
        <v>0</v>
      </c>
      <c r="S17" s="14">
        <f t="shared" si="2"/>
        <v>3.13</v>
      </c>
      <c r="T17" s="14">
        <f t="shared" si="3"/>
        <v>1.63</v>
      </c>
      <c r="U17" s="14">
        <f>IF($A17="","",IF($K17="", "", ROUND((($K17 + Settings!$B$3 + $R17) - IF($M17="",0,$M17))/(1-Settings!$B$2),2)))</f>
        <v>2.0699999999999998</v>
      </c>
      <c r="V17" s="14">
        <f>IF($A17="","",$L17-($L17*Settings!$B$2)-$J17-($B17+SUM($D17:$I17)))</f>
        <v>1.9734399999999996</v>
      </c>
      <c r="W17" s="14">
        <f>IF($A17="","",(($B17+SUM($D17:$I17)+$J17+Settings!$B$3)/(1-Settings!$B$2))-$M17)</f>
        <v>2.070962536023055</v>
      </c>
      <c r="X17" s="15">
        <f t="shared" si="4"/>
        <v>0.40749999999999997</v>
      </c>
      <c r="Y17" s="15">
        <f t="shared" si="5"/>
        <v>1.0891644838830383</v>
      </c>
      <c r="Z17" s="15">
        <f t="shared" si="6"/>
        <v>0.2175</v>
      </c>
      <c r="AA17" s="15">
        <f t="shared" si="7"/>
        <v>0.40749999999999997</v>
      </c>
      <c r="AC17" s="16"/>
      <c r="AD17" s="16"/>
      <c r="AE17" s="17" t="str">
        <f t="shared" si="8"/>
        <v/>
      </c>
    </row>
    <row r="18" spans="1:31" s="13" customFormat="1" x14ac:dyDescent="0.25">
      <c r="A18" s="13" t="s">
        <v>71</v>
      </c>
      <c r="B18" s="14">
        <v>0</v>
      </c>
      <c r="C18" s="13" t="s">
        <v>31</v>
      </c>
      <c r="D18" s="14">
        <f>IF($A18="","",1*'Material Costs'!$D$3)</f>
        <v>1.7160000000000002E-2</v>
      </c>
      <c r="E18" s="14">
        <f>IF($A18="","",1*'Material Costs'!$D$2)</f>
        <v>0.1699</v>
      </c>
      <c r="F18" s="14">
        <v>0</v>
      </c>
      <c r="G18" s="14">
        <f>IF($A18="","",1*'Material Costs'!$D$7)</f>
        <v>5.2499999999999998E-2</v>
      </c>
      <c r="H18" s="14">
        <f>IF($A18="","",IF($C18="Bubble Mailer",1,0)*'Material Costs'!$D$5)</f>
        <v>0</v>
      </c>
      <c r="I18" s="14">
        <f>IF($A18="","",IF($C18="ESE (Ding Defend)",1,0)*'Material Costs'!$D$4)</f>
        <v>0.22700000000000001</v>
      </c>
      <c r="J18" s="14">
        <v>1.03</v>
      </c>
      <c r="K18" s="14">
        <f t="shared" si="0"/>
        <v>1.4965600000000001</v>
      </c>
      <c r="L18" s="14">
        <v>6.5</v>
      </c>
      <c r="M18" s="14">
        <v>0</v>
      </c>
      <c r="N18" s="14">
        <v>0.46</v>
      </c>
      <c r="O18" s="14">
        <f t="shared" si="1"/>
        <v>6.96</v>
      </c>
      <c r="P18" s="14">
        <v>1.22</v>
      </c>
      <c r="Q18" s="14">
        <f>IF($A18="","",IF($O18="", "", ROUND($O18*Settings!$B$2+Settings!$B$3,2)))</f>
        <v>1.22</v>
      </c>
      <c r="R18" s="14">
        <v>0</v>
      </c>
      <c r="S18" s="14">
        <f t="shared" si="2"/>
        <v>5.74</v>
      </c>
      <c r="T18" s="14">
        <f t="shared" si="3"/>
        <v>4.24</v>
      </c>
      <c r="U18" s="14">
        <f>IF($A18="","",IF($K18="", "", ROUND((($K18 + Settings!$B$3 + $R18) - IF($M18="",0,$M18))/(1-Settings!$B$2),2)))</f>
        <v>2.0699999999999998</v>
      </c>
      <c r="V18" s="14">
        <f>IF($A18="","",$L18-($L18*Settings!$B$2)-$J18-($B18+SUM($D18:$I18)))</f>
        <v>4.1421899999999994</v>
      </c>
      <c r="W18" s="14">
        <f>IF($A18="","",(($B18+SUM($D18:$I18)+$J18+Settings!$B$3)/(1-Settings!$B$2))-$M18)</f>
        <v>2.070962536023055</v>
      </c>
      <c r="X18" s="15">
        <f t="shared" si="4"/>
        <v>0.60919540229885061</v>
      </c>
      <c r="Y18" s="15">
        <f t="shared" si="5"/>
        <v>2.8331640562356335</v>
      </c>
      <c r="Z18" s="15">
        <f t="shared" si="6"/>
        <v>0.17528735632183909</v>
      </c>
      <c r="AA18" s="15">
        <f t="shared" si="7"/>
        <v>0.65230769230769237</v>
      </c>
      <c r="AC18" s="16"/>
      <c r="AD18" s="16"/>
      <c r="AE18" s="17" t="str">
        <f t="shared" si="8"/>
        <v/>
      </c>
    </row>
    <row r="19" spans="1:31" s="13" customFormat="1" x14ac:dyDescent="0.25">
      <c r="A19" s="13" t="s">
        <v>72</v>
      </c>
      <c r="B19" s="14">
        <v>0.25</v>
      </c>
      <c r="C19" s="13" t="s">
        <v>31</v>
      </c>
      <c r="D19" s="14">
        <f>IF($A19="","",1*'Material Costs'!$D$3)</f>
        <v>1.7160000000000002E-2</v>
      </c>
      <c r="E19" s="14">
        <f>IF($A19="","",1*'Material Costs'!$D$2)</f>
        <v>0.1699</v>
      </c>
      <c r="F19" s="14">
        <v>0</v>
      </c>
      <c r="G19" s="14">
        <f>IF($A19="","",1*'Material Costs'!$D$7)</f>
        <v>5.2499999999999998E-2</v>
      </c>
      <c r="H19" s="14">
        <f>IF($A19="","",IF($C19="Bubble Mailer",1,0)*'Material Costs'!$D$5)</f>
        <v>0</v>
      </c>
      <c r="I19" s="14">
        <f>IF($A19="","",IF($C19="ESE (Ding Defend)",1,0)*'Material Costs'!$D$4)</f>
        <v>0.22700000000000001</v>
      </c>
      <c r="J19" s="14">
        <v>1.03</v>
      </c>
      <c r="K19" s="14">
        <f t="shared" si="0"/>
        <v>1.7465600000000001</v>
      </c>
      <c r="L19" s="14">
        <v>1.99</v>
      </c>
      <c r="M19" s="14">
        <v>0</v>
      </c>
      <c r="N19" s="14"/>
      <c r="O19" s="14">
        <f t="shared" si="1"/>
        <v>1.99</v>
      </c>
      <c r="P19" s="14"/>
      <c r="Q19" s="14">
        <f>IF($A19="","",IF($O19="", "", ROUND($O19*Settings!$B$2+Settings!$B$3,2)))</f>
        <v>0.56000000000000005</v>
      </c>
      <c r="R19" s="14">
        <v>0</v>
      </c>
      <c r="S19" s="14">
        <f t="shared" si="2"/>
        <v>1.43</v>
      </c>
      <c r="T19" s="14">
        <f t="shared" si="3"/>
        <v>-0.32</v>
      </c>
      <c r="U19" s="14">
        <f>IF($A19="","",IF($K19="", "", ROUND((($K19 + Settings!$B$3 + $R19) - IF($M19="",0,$M19))/(1-Settings!$B$2),2)))</f>
        <v>2.36</v>
      </c>
      <c r="V19" s="14">
        <f>IF($A19="","",$L19-($L19*Settings!$B$2)-$J19-($B19+SUM($D19:$I19)))</f>
        <v>-2.0234999999999892E-2</v>
      </c>
      <c r="W19" s="14">
        <f>IF($A19="","",(($B19+SUM($D19:$I19)+$J19+Settings!$B$3)/(1-Settings!$B$2))-$M19)</f>
        <v>2.3591469740634006</v>
      </c>
      <c r="X19" s="15">
        <f t="shared" si="4"/>
        <v>-0.16080402010050251</v>
      </c>
      <c r="Y19" s="15">
        <f t="shared" si="5"/>
        <v>-0.18321729571271528</v>
      </c>
      <c r="Z19" s="15">
        <f t="shared" si="6"/>
        <v>0.28140703517587945</v>
      </c>
      <c r="AA19" s="15">
        <f t="shared" si="7"/>
        <v>-0.16080402010050251</v>
      </c>
      <c r="AC19" s="16"/>
      <c r="AD19" s="16"/>
      <c r="AE19" s="17" t="str">
        <f t="shared" si="8"/>
        <v/>
      </c>
    </row>
    <row r="20" spans="1:31" s="13" customFormat="1" x14ac:dyDescent="0.25">
      <c r="A20" s="13" t="s">
        <v>73</v>
      </c>
      <c r="B20" s="14">
        <v>0</v>
      </c>
      <c r="C20" s="13" t="s">
        <v>31</v>
      </c>
      <c r="D20" s="14">
        <f>IF($A20="","",1*'Material Costs'!$D$3)</f>
        <v>1.7160000000000002E-2</v>
      </c>
      <c r="E20" s="14">
        <f>IF($A20="","",1*'Material Costs'!$D$2)</f>
        <v>0.1699</v>
      </c>
      <c r="F20" s="14">
        <v>0</v>
      </c>
      <c r="G20" s="14">
        <f>IF($A20="","",1*'Material Costs'!$D$7)</f>
        <v>5.2499999999999998E-2</v>
      </c>
      <c r="H20" s="14">
        <f>IF($A20="","",IF($C20="Bubble Mailer",1,0)*'Material Costs'!$D$5)</f>
        <v>0</v>
      </c>
      <c r="I20" s="14">
        <f>IF($A20="","",IF($C20="ESE (Ding Defend)",1,0)*'Material Costs'!$D$4)</f>
        <v>0.22700000000000001</v>
      </c>
      <c r="J20" s="14">
        <v>1.03</v>
      </c>
      <c r="K20" s="14">
        <f t="shared" si="0"/>
        <v>1.4965600000000001</v>
      </c>
      <c r="L20" s="14">
        <v>2.25</v>
      </c>
      <c r="M20" s="14">
        <v>0</v>
      </c>
      <c r="N20" s="14"/>
      <c r="O20" s="14">
        <f t="shared" si="1"/>
        <v>2.25</v>
      </c>
      <c r="P20" s="14"/>
      <c r="Q20" s="14">
        <f>IF($A20="","",IF($O20="", "", ROUND($O20*Settings!$B$2+Settings!$B$3,2)))</f>
        <v>0.6</v>
      </c>
      <c r="R20" s="14">
        <v>0</v>
      </c>
      <c r="S20" s="14">
        <f t="shared" si="2"/>
        <v>1.65</v>
      </c>
      <c r="T20" s="14">
        <f t="shared" si="3"/>
        <v>0.15</v>
      </c>
      <c r="U20" s="14">
        <f>IF($A20="","",IF($K20="", "", ROUND((($K20 + Settings!$B$3 + $R20) - IF($M20="",0,$M20))/(1-Settings!$B$2),2)))</f>
        <v>2.0699999999999998</v>
      </c>
      <c r="V20" s="14">
        <f>IF($A20="","",$L20-($L20*Settings!$B$2)-$J20-($B20+SUM($D20:$I20)))</f>
        <v>0.45531500000000003</v>
      </c>
      <c r="W20" s="14">
        <f>IF($A20="","",(($B20+SUM($D20:$I20)+$J20+Settings!$B$3)/(1-Settings!$B$2))-$M20)</f>
        <v>2.070962536023055</v>
      </c>
      <c r="X20" s="15">
        <f t="shared" si="4"/>
        <v>6.6666666666666666E-2</v>
      </c>
      <c r="Y20" s="15">
        <f t="shared" si="5"/>
        <v>0.1002298604800342</v>
      </c>
      <c r="Z20" s="15">
        <f t="shared" si="6"/>
        <v>0.26666666666666666</v>
      </c>
      <c r="AA20" s="15">
        <f t="shared" si="7"/>
        <v>6.6666666666666666E-2</v>
      </c>
      <c r="AC20" s="16"/>
      <c r="AD20" s="16"/>
      <c r="AE20" s="17" t="str">
        <f t="shared" si="8"/>
        <v/>
      </c>
    </row>
    <row r="21" spans="1:31" s="13" customFormat="1" x14ac:dyDescent="0.25">
      <c r="A21" s="13" t="s">
        <v>74</v>
      </c>
      <c r="B21" s="14">
        <v>0</v>
      </c>
      <c r="C21" s="13" t="s">
        <v>31</v>
      </c>
      <c r="D21" s="14">
        <f>IF($A21="","",1*'Material Costs'!$D$3)</f>
        <v>1.7160000000000002E-2</v>
      </c>
      <c r="E21" s="14">
        <f>IF($A21="","",1*'Material Costs'!$D$2)</f>
        <v>0.1699</v>
      </c>
      <c r="F21" s="14">
        <v>0</v>
      </c>
      <c r="G21" s="14">
        <f>IF($A21="","",1*'Material Costs'!$D$7)</f>
        <v>5.2499999999999998E-2</v>
      </c>
      <c r="H21" s="14">
        <f>IF($A21="","",IF($C21="Bubble Mailer",1,0)*'Material Costs'!$D$5)</f>
        <v>0</v>
      </c>
      <c r="I21" s="14">
        <f>IF($A21="","",IF($C21="ESE (Ding Defend)",1,0)*'Material Costs'!$D$4)</f>
        <v>0.22700000000000001</v>
      </c>
      <c r="J21" s="14">
        <v>1.03</v>
      </c>
      <c r="K21" s="14">
        <f t="shared" si="0"/>
        <v>1.4965600000000001</v>
      </c>
      <c r="L21" s="14">
        <v>2.99</v>
      </c>
      <c r="M21" s="14">
        <v>0</v>
      </c>
      <c r="N21" s="14"/>
      <c r="O21" s="14">
        <f t="shared" si="1"/>
        <v>2.99</v>
      </c>
      <c r="P21" s="14"/>
      <c r="Q21" s="14">
        <f>IF($A21="","",IF($O21="", "", ROUND($O21*Settings!$B$2+Settings!$B$3,2)))</f>
        <v>0.7</v>
      </c>
      <c r="R21" s="14">
        <v>0</v>
      </c>
      <c r="S21" s="14">
        <f t="shared" si="2"/>
        <v>2.29</v>
      </c>
      <c r="T21" s="14">
        <f t="shared" si="3"/>
        <v>0.79</v>
      </c>
      <c r="U21" s="14">
        <f>IF($A21="","",IF($K21="", "", ROUND((($K21 + Settings!$B$3 + $R21) - IF($M21="",0,$M21))/(1-Settings!$B$2),2)))</f>
        <v>2.0699999999999998</v>
      </c>
      <c r="V21" s="14">
        <f>IF($A21="","",$L21-($L21*Settings!$B$2)-$J21-($B21+SUM($D21:$I21)))</f>
        <v>1.0972650000000002</v>
      </c>
      <c r="W21" s="14">
        <f>IF($A21="","",(($B21+SUM($D21:$I21)+$J21+Settings!$B$3)/(1-Settings!$B$2))-$M21)</f>
        <v>2.070962536023055</v>
      </c>
      <c r="X21" s="15">
        <f t="shared" si="4"/>
        <v>0.26421404682274247</v>
      </c>
      <c r="Y21" s="15">
        <f t="shared" si="5"/>
        <v>0.52787726519484679</v>
      </c>
      <c r="Z21" s="15">
        <f t="shared" si="6"/>
        <v>0.23411371237458189</v>
      </c>
      <c r="AA21" s="15">
        <f t="shared" si="7"/>
        <v>0.26421404682274247</v>
      </c>
      <c r="AC21" s="16"/>
      <c r="AD21" s="16"/>
      <c r="AE21" s="17" t="str">
        <f t="shared" si="8"/>
        <v/>
      </c>
    </row>
    <row r="22" spans="1:31" s="13" customFormat="1" x14ac:dyDescent="0.25">
      <c r="A22" s="13" t="s">
        <v>75</v>
      </c>
      <c r="B22" s="14">
        <v>0.25</v>
      </c>
      <c r="C22" s="13" t="s">
        <v>31</v>
      </c>
      <c r="D22" s="14">
        <f>IF($A22="","",1*'Material Costs'!$D$3)</f>
        <v>1.7160000000000002E-2</v>
      </c>
      <c r="E22" s="14">
        <f>IF($A22="","",1*'Material Costs'!$D$2)</f>
        <v>0.1699</v>
      </c>
      <c r="F22" s="14">
        <v>0</v>
      </c>
      <c r="G22" s="14">
        <f>IF($A22="","",1*'Material Costs'!$D$7)</f>
        <v>5.2499999999999998E-2</v>
      </c>
      <c r="H22" s="14">
        <f>IF($A22="","",IF($C22="Bubble Mailer",1,0)*'Material Costs'!$D$5)</f>
        <v>0</v>
      </c>
      <c r="I22" s="14">
        <f>IF($A22="","",IF($C22="ESE (Ding Defend)",1,0)*'Material Costs'!$D$4)</f>
        <v>0.22700000000000001</v>
      </c>
      <c r="J22" s="14">
        <v>1.03</v>
      </c>
      <c r="K22" s="14">
        <f t="shared" si="0"/>
        <v>1.7465600000000001</v>
      </c>
      <c r="L22" s="14">
        <v>2.99</v>
      </c>
      <c r="M22" s="14">
        <v>0</v>
      </c>
      <c r="N22" s="14"/>
      <c r="O22" s="14">
        <f t="shared" si="1"/>
        <v>2.99</v>
      </c>
      <c r="P22" s="14"/>
      <c r="Q22" s="14">
        <f>IF($A22="","",IF($O22="", "", ROUND($O22*Settings!$B$2+Settings!$B$3,2)))</f>
        <v>0.7</v>
      </c>
      <c r="R22" s="14">
        <v>0</v>
      </c>
      <c r="S22" s="14">
        <f t="shared" si="2"/>
        <v>2.29</v>
      </c>
      <c r="T22" s="14">
        <f t="shared" si="3"/>
        <v>0.54</v>
      </c>
      <c r="U22" s="14">
        <f>IF($A22="","",IF($K22="", "", ROUND((($K22 + Settings!$B$3 + $R22) - IF($M22="",0,$M22))/(1-Settings!$B$2),2)))</f>
        <v>2.36</v>
      </c>
      <c r="V22" s="14">
        <f>IF($A22="","",$L22-($L22*Settings!$B$2)-$J22-($B22+SUM($D22:$I22)))</f>
        <v>0.84726500000000027</v>
      </c>
      <c r="W22" s="14">
        <f>IF($A22="","",(($B22+SUM($D22:$I22)+$J22+Settings!$B$3)/(1-Settings!$B$2))-$M22)</f>
        <v>2.3591469740634006</v>
      </c>
      <c r="X22" s="15">
        <f t="shared" si="4"/>
        <v>0.1806020066889632</v>
      </c>
      <c r="Y22" s="15">
        <f t="shared" si="5"/>
        <v>0.30917918651520704</v>
      </c>
      <c r="Z22" s="15">
        <f t="shared" si="6"/>
        <v>0.23411371237458189</v>
      </c>
      <c r="AA22" s="15">
        <f t="shared" si="7"/>
        <v>0.1806020066889632</v>
      </c>
      <c r="AC22" s="16"/>
      <c r="AD22" s="16"/>
      <c r="AE22" s="17" t="str">
        <f t="shared" si="8"/>
        <v/>
      </c>
    </row>
    <row r="23" spans="1:31" s="13" customFormat="1" x14ac:dyDescent="0.25">
      <c r="A23" s="13" t="s">
        <v>76</v>
      </c>
      <c r="B23" s="14">
        <v>0.25</v>
      </c>
      <c r="C23" s="13" t="s">
        <v>31</v>
      </c>
      <c r="D23" s="14">
        <f>IF($A23="","",1*'Material Costs'!$D$3)</f>
        <v>1.7160000000000002E-2</v>
      </c>
      <c r="E23" s="14">
        <f>IF($A23="","",1*'Material Costs'!$D$2)</f>
        <v>0.1699</v>
      </c>
      <c r="F23" s="14">
        <v>0</v>
      </c>
      <c r="G23" s="14">
        <f>IF($A23="","",1*'Material Costs'!$D$7)</f>
        <v>5.2499999999999998E-2</v>
      </c>
      <c r="H23" s="14">
        <f>IF($A23="","",IF($C23="Bubble Mailer",1,0)*'Material Costs'!$D$5)</f>
        <v>0</v>
      </c>
      <c r="I23" s="14">
        <f>IF($A23="","",IF($C23="ESE (Ding Defend)",1,0)*'Material Costs'!$D$4)</f>
        <v>0.22700000000000001</v>
      </c>
      <c r="J23" s="14">
        <v>1.03</v>
      </c>
      <c r="K23" s="14">
        <f t="shared" si="0"/>
        <v>1.7465600000000001</v>
      </c>
      <c r="L23" s="14">
        <v>2.99</v>
      </c>
      <c r="M23" s="14">
        <v>0</v>
      </c>
      <c r="N23" s="14"/>
      <c r="O23" s="14">
        <f t="shared" si="1"/>
        <v>2.99</v>
      </c>
      <c r="P23" s="14"/>
      <c r="Q23" s="14">
        <f>IF($A23="","",IF($O23="", "", ROUND($O23*Settings!$B$2+Settings!$B$3,2)))</f>
        <v>0.7</v>
      </c>
      <c r="R23" s="14">
        <v>0</v>
      </c>
      <c r="S23" s="14">
        <f t="shared" si="2"/>
        <v>2.29</v>
      </c>
      <c r="T23" s="14">
        <f t="shared" si="3"/>
        <v>0.54</v>
      </c>
      <c r="U23" s="14">
        <f>IF($A23="","",IF($K23="", "", ROUND((($K23 + Settings!$B$3 + $R23) - IF($M23="",0,$M23))/(1-Settings!$B$2),2)))</f>
        <v>2.36</v>
      </c>
      <c r="V23" s="14">
        <f>IF($A23="","",$L23-($L23*Settings!$B$2)-$J23-($B23+SUM($D23:$I23)))</f>
        <v>0.84726500000000027</v>
      </c>
      <c r="W23" s="14">
        <f>IF($A23="","",(($B23+SUM($D23:$I23)+$J23+Settings!$B$3)/(1-Settings!$B$2))-$M23)</f>
        <v>2.3591469740634006</v>
      </c>
      <c r="X23" s="15">
        <f t="shared" si="4"/>
        <v>0.1806020066889632</v>
      </c>
      <c r="Y23" s="15">
        <f t="shared" si="5"/>
        <v>0.30917918651520704</v>
      </c>
      <c r="Z23" s="15">
        <f t="shared" si="6"/>
        <v>0.23411371237458189</v>
      </c>
      <c r="AA23" s="15">
        <f t="shared" si="7"/>
        <v>0.1806020066889632</v>
      </c>
      <c r="AC23" s="16"/>
      <c r="AD23" s="16"/>
      <c r="AE23" s="17" t="str">
        <f t="shared" si="8"/>
        <v/>
      </c>
    </row>
    <row r="24" spans="1:31" x14ac:dyDescent="0.25">
      <c r="B24" s="9"/>
      <c r="C24" t="s">
        <v>31</v>
      </c>
      <c r="D24" s="9" t="str">
        <f>IF($A24="","",1*'Material Costs'!$D$3)</f>
        <v/>
      </c>
      <c r="E24" s="9" t="str">
        <f>IF($A24="","",1*'Material Costs'!$D$2)</f>
        <v/>
      </c>
      <c r="F24" s="9" t="str">
        <f>IF($A24="","",IF($C24="Bubble Mailer",2,1)*'Material Costs'!$D$6)</f>
        <v/>
      </c>
      <c r="G24" s="9" t="str">
        <f>IF($A24="","",1*'Material Costs'!$D$7)</f>
        <v/>
      </c>
      <c r="H24" s="9" t="str">
        <f>IF($A24="","",IF($C24="Bubble Mailer",1,0)*'Material Costs'!$D$5)</f>
        <v/>
      </c>
      <c r="I24" s="9" t="str">
        <f>IF($A24="","",IF($C24="ESE (Ding Defend)",1,0)*'Material Costs'!$D$4)</f>
        <v/>
      </c>
      <c r="J24" s="9"/>
      <c r="K24" s="9" t="str">
        <f t="shared" si="0"/>
        <v/>
      </c>
      <c r="L24" s="9"/>
      <c r="M24" s="9"/>
      <c r="N24" s="9"/>
      <c r="O24" s="9" t="str">
        <f t="shared" si="1"/>
        <v/>
      </c>
      <c r="P24" s="9"/>
      <c r="Q24" s="9" t="str">
        <f>IF($A24="","",IF($O24="", "", ROUND($O24*Settings!$B$2+Settings!$B$3,2)))</f>
        <v/>
      </c>
      <c r="R24" s="9" t="str">
        <f>IF($A24="","",IF($L24="", "", Settings!$B$4))</f>
        <v/>
      </c>
      <c r="S24" s="9" t="str">
        <f t="shared" si="2"/>
        <v/>
      </c>
      <c r="T24" s="9" t="str">
        <f t="shared" si="3"/>
        <v/>
      </c>
      <c r="U24" s="9" t="str">
        <f>IF($A24="","",IF($K24="", "", ROUND((($K24 + Settings!$B$3 + $R24) - IF($M24="",0,$M24))/(1-Settings!$B$2),2)))</f>
        <v/>
      </c>
      <c r="V24" s="9" t="str">
        <f>IF($A24="","",$L24-($L24*Settings!$B$2)-$J24-($B24+SUM($D24:$I24)))</f>
        <v/>
      </c>
      <c r="W24" s="9" t="str">
        <f>IF($A24="","",(($B24+SUM($D24:$I24)+$J24+Settings!$B$3)/(1-Settings!$B$2))-$M24)</f>
        <v/>
      </c>
      <c r="X24" s="10" t="str">
        <f t="shared" si="4"/>
        <v/>
      </c>
      <c r="Y24" s="10" t="str">
        <f t="shared" si="5"/>
        <v/>
      </c>
      <c r="Z24" s="10" t="str">
        <f t="shared" si="6"/>
        <v/>
      </c>
      <c r="AA24" s="10" t="str">
        <f t="shared" si="7"/>
        <v/>
      </c>
      <c r="AC24" s="11"/>
      <c r="AD24" s="11"/>
      <c r="AE24" s="12" t="str">
        <f t="shared" si="8"/>
        <v/>
      </c>
    </row>
    <row r="25" spans="1:31" x14ac:dyDescent="0.25">
      <c r="B25" s="9"/>
      <c r="C25" t="s">
        <v>31</v>
      </c>
      <c r="D25" s="9" t="str">
        <f>IF($A25="","",1*'Material Costs'!$D$3)</f>
        <v/>
      </c>
      <c r="E25" s="9" t="str">
        <f>IF($A25="","",1*'Material Costs'!$D$2)</f>
        <v/>
      </c>
      <c r="F25" s="9" t="str">
        <f>IF($A25="","",IF($C25="Bubble Mailer",2,1)*'Material Costs'!$D$6)</f>
        <v/>
      </c>
      <c r="G25" s="9" t="str">
        <f>IF($A25="","",1*'Material Costs'!$D$7)</f>
        <v/>
      </c>
      <c r="H25" s="9" t="str">
        <f>IF($A25="","",IF($C25="Bubble Mailer",1,0)*'Material Costs'!$D$5)</f>
        <v/>
      </c>
      <c r="I25" s="9" t="str">
        <f>IF($A25="","",IF($C25="ESE (Ding Defend)",1,0)*'Material Costs'!$D$4)</f>
        <v/>
      </c>
      <c r="J25" s="9"/>
      <c r="K25" s="9" t="str">
        <f t="shared" si="0"/>
        <v/>
      </c>
      <c r="L25" s="9"/>
      <c r="M25" s="9"/>
      <c r="N25" s="9"/>
      <c r="O25" s="9" t="str">
        <f t="shared" si="1"/>
        <v/>
      </c>
      <c r="P25" s="9"/>
      <c r="Q25" s="9" t="str">
        <f>IF($A25="","",IF($O25="", "", ROUND($O25*Settings!$B$2+Settings!$B$3,2)))</f>
        <v/>
      </c>
      <c r="R25" s="9" t="str">
        <f>IF($A25="","",IF($L25="", "", Settings!$B$4))</f>
        <v/>
      </c>
      <c r="S25" s="9" t="str">
        <f t="shared" si="2"/>
        <v/>
      </c>
      <c r="T25" s="9" t="str">
        <f t="shared" si="3"/>
        <v/>
      </c>
      <c r="U25" s="9" t="str">
        <f>IF($A25="","",IF($K25="", "", ROUND((($K25 + Settings!$B$3 + $R25) - IF($M25="",0,$M25))/(1-Settings!$B$2),2)))</f>
        <v/>
      </c>
      <c r="V25" s="9" t="str">
        <f>IF($A25="","",$L25-($L25*Settings!$B$2)-$J25-($B25+SUM($D25:$I25)))</f>
        <v/>
      </c>
      <c r="W25" s="9" t="str">
        <f>IF($A25="","",(($B25+SUM($D25:$I25)+$J25+Settings!$B$3)/(1-Settings!$B$2))-$M25)</f>
        <v/>
      </c>
      <c r="X25" s="10" t="str">
        <f t="shared" si="4"/>
        <v/>
      </c>
      <c r="Y25" s="10" t="str">
        <f t="shared" si="5"/>
        <v/>
      </c>
      <c r="Z25" s="10" t="str">
        <f t="shared" si="6"/>
        <v/>
      </c>
      <c r="AA25" s="10" t="str">
        <f t="shared" si="7"/>
        <v/>
      </c>
      <c r="AC25" s="11"/>
      <c r="AD25" s="11"/>
      <c r="AE25" s="12" t="str">
        <f t="shared" si="8"/>
        <v/>
      </c>
    </row>
    <row r="26" spans="1:31" x14ac:dyDescent="0.25">
      <c r="B26" s="9"/>
      <c r="C26" t="s">
        <v>31</v>
      </c>
      <c r="D26" s="9" t="str">
        <f>IF($A26="","",1*'Material Costs'!$D$3)</f>
        <v/>
      </c>
      <c r="E26" s="9" t="str">
        <f>IF($A26="","",1*'Material Costs'!$D$2)</f>
        <v/>
      </c>
      <c r="F26" s="9" t="str">
        <f>IF($A26="","",IF($C26="Bubble Mailer",2,1)*'Material Costs'!$D$6)</f>
        <v/>
      </c>
      <c r="G26" s="9" t="str">
        <f>IF($A26="","",1*'Material Costs'!$D$7)</f>
        <v/>
      </c>
      <c r="H26" s="9" t="str">
        <f>IF($A26="","",IF($C26="Bubble Mailer",1,0)*'Material Costs'!$D$5)</f>
        <v/>
      </c>
      <c r="I26" s="9" t="str">
        <f>IF($A26="","",IF($C26="ESE (Ding Defend)",1,0)*'Material Costs'!$D$4)</f>
        <v/>
      </c>
      <c r="J26" s="9"/>
      <c r="K26" s="9" t="str">
        <f t="shared" si="0"/>
        <v/>
      </c>
      <c r="L26" s="9"/>
      <c r="M26" s="9"/>
      <c r="N26" s="9"/>
      <c r="O26" s="9" t="str">
        <f t="shared" si="1"/>
        <v/>
      </c>
      <c r="P26" s="9"/>
      <c r="Q26" s="9" t="str">
        <f>IF($A26="","",IF($O26="", "", ROUND($O26*Settings!$B$2+Settings!$B$3,2)))</f>
        <v/>
      </c>
      <c r="R26" s="9" t="str">
        <f>IF($A26="","",IF($L26="", "", Settings!$B$4))</f>
        <v/>
      </c>
      <c r="S26" s="9" t="str">
        <f t="shared" si="2"/>
        <v/>
      </c>
      <c r="T26" s="9" t="str">
        <f t="shared" si="3"/>
        <v/>
      </c>
      <c r="U26" s="9" t="str">
        <f>IF($A26="","",IF($K26="", "", ROUND((($K26 + Settings!$B$3 + $R26) - IF($M26="",0,$M26))/(1-Settings!$B$2),2)))</f>
        <v/>
      </c>
      <c r="V26" s="9" t="str">
        <f>IF($A26="","",$L26-($L26*Settings!$B$2)-$J26-($B26+SUM($D26:$I26)))</f>
        <v/>
      </c>
      <c r="W26" s="9" t="str">
        <f>IF($A26="","",(($B26+SUM($D26:$I26)+$J26+Settings!$B$3)/(1-Settings!$B$2))-$M26)</f>
        <v/>
      </c>
      <c r="X26" s="10" t="str">
        <f t="shared" si="4"/>
        <v/>
      </c>
      <c r="Y26" s="10" t="str">
        <f t="shared" si="5"/>
        <v/>
      </c>
      <c r="Z26" s="10" t="str">
        <f t="shared" si="6"/>
        <v/>
      </c>
      <c r="AA26" s="10" t="str">
        <f t="shared" si="7"/>
        <v/>
      </c>
      <c r="AC26" s="11"/>
      <c r="AD26" s="11"/>
      <c r="AE26" s="12" t="str">
        <f t="shared" si="8"/>
        <v/>
      </c>
    </row>
    <row r="27" spans="1:31" x14ac:dyDescent="0.25">
      <c r="B27" s="9"/>
      <c r="C27" t="s">
        <v>31</v>
      </c>
      <c r="D27" s="9" t="str">
        <f>IF($A27="","",1*'Material Costs'!$D$3)</f>
        <v/>
      </c>
      <c r="E27" s="9" t="str">
        <f>IF($A27="","",1*'Material Costs'!$D$2)</f>
        <v/>
      </c>
      <c r="F27" s="9" t="str">
        <f>IF($A27="","",IF($C27="Bubble Mailer",2,1)*'Material Costs'!$D$6)</f>
        <v/>
      </c>
      <c r="G27" s="9" t="str">
        <f>IF($A27="","",1*'Material Costs'!$D$7)</f>
        <v/>
      </c>
      <c r="H27" s="9" t="str">
        <f>IF($A27="","",IF($C27="Bubble Mailer",1,0)*'Material Costs'!$D$5)</f>
        <v/>
      </c>
      <c r="I27" s="9" t="str">
        <f>IF($A27="","",IF($C27="ESE (Ding Defend)",1,0)*'Material Costs'!$D$4)</f>
        <v/>
      </c>
      <c r="J27" s="9"/>
      <c r="K27" s="9" t="str">
        <f t="shared" si="0"/>
        <v/>
      </c>
      <c r="L27" s="9"/>
      <c r="M27" s="9"/>
      <c r="N27" s="9"/>
      <c r="O27" s="9" t="str">
        <f t="shared" si="1"/>
        <v/>
      </c>
      <c r="P27" s="9"/>
      <c r="Q27" s="9" t="str">
        <f>IF($A27="","",IF($O27="", "", ROUND($O27*Settings!$B$2+Settings!$B$3,2)))</f>
        <v/>
      </c>
      <c r="R27" s="9" t="str">
        <f>IF($A27="","",IF($L27="", "", Settings!$B$4))</f>
        <v/>
      </c>
      <c r="S27" s="9" t="str">
        <f t="shared" si="2"/>
        <v/>
      </c>
      <c r="T27" s="9" t="str">
        <f t="shared" si="3"/>
        <v/>
      </c>
      <c r="U27" s="9" t="str">
        <f>IF($A27="","",IF($K27="", "", ROUND((($K27 + Settings!$B$3 + $R27) - IF($M27="",0,$M27))/(1-Settings!$B$2),2)))</f>
        <v/>
      </c>
      <c r="V27" s="9" t="str">
        <f>IF($A27="","",$L27-($L27*Settings!$B$2)-$J27-($B27+SUM($D27:$I27)))</f>
        <v/>
      </c>
      <c r="W27" s="9" t="str">
        <f>IF($A27="","",(($B27+SUM($D27:$I27)+$J27+Settings!$B$3)/(1-Settings!$B$2))-$M27)</f>
        <v/>
      </c>
      <c r="X27" s="10" t="str">
        <f t="shared" si="4"/>
        <v/>
      </c>
      <c r="Y27" s="10" t="str">
        <f t="shared" si="5"/>
        <v/>
      </c>
      <c r="Z27" s="10" t="str">
        <f t="shared" si="6"/>
        <v/>
      </c>
      <c r="AA27" s="10" t="str">
        <f t="shared" si="7"/>
        <v/>
      </c>
      <c r="AC27" s="11"/>
      <c r="AD27" s="11"/>
      <c r="AE27" s="12" t="str">
        <f t="shared" si="8"/>
        <v/>
      </c>
    </row>
    <row r="28" spans="1:31" x14ac:dyDescent="0.25">
      <c r="B28" s="9"/>
      <c r="C28" t="s">
        <v>31</v>
      </c>
      <c r="D28" s="9" t="str">
        <f>IF($A28="","",1*'Material Costs'!$D$3)</f>
        <v/>
      </c>
      <c r="E28" s="9" t="str">
        <f>IF($A28="","",1*'Material Costs'!$D$2)</f>
        <v/>
      </c>
      <c r="F28" s="9" t="str">
        <f>IF($A28="","",IF($C28="Bubble Mailer",2,1)*'Material Costs'!$D$6)</f>
        <v/>
      </c>
      <c r="G28" s="9" t="str">
        <f>IF($A28="","",1*'Material Costs'!$D$7)</f>
        <v/>
      </c>
      <c r="H28" s="9" t="str">
        <f>IF($A28="","",IF($C28="Bubble Mailer",1,0)*'Material Costs'!$D$5)</f>
        <v/>
      </c>
      <c r="I28" s="9" t="str">
        <f>IF($A28="","",IF($C28="ESE (Ding Defend)",1,0)*'Material Costs'!$D$4)</f>
        <v/>
      </c>
      <c r="J28" s="9"/>
      <c r="K28" s="9" t="str">
        <f t="shared" si="0"/>
        <v/>
      </c>
      <c r="L28" s="9"/>
      <c r="M28" s="9"/>
      <c r="N28" s="9"/>
      <c r="O28" s="9" t="str">
        <f t="shared" si="1"/>
        <v/>
      </c>
      <c r="P28" s="9"/>
      <c r="Q28" s="9" t="str">
        <f>IF($A28="","",IF($O28="", "", ROUND($O28*Settings!$B$2+Settings!$B$3,2)))</f>
        <v/>
      </c>
      <c r="R28" s="9" t="str">
        <f>IF($A28="","",IF($L28="", "", Settings!$B$4))</f>
        <v/>
      </c>
      <c r="S28" s="9" t="str">
        <f t="shared" si="2"/>
        <v/>
      </c>
      <c r="T28" s="9" t="str">
        <f t="shared" si="3"/>
        <v/>
      </c>
      <c r="U28" s="9" t="str">
        <f>IF($A28="","",IF($K28="", "", ROUND((($K28 + Settings!$B$3 + $R28) - IF($M28="",0,$M28))/(1-Settings!$B$2),2)))</f>
        <v/>
      </c>
      <c r="V28" s="9" t="str">
        <f>IF($A28="","",$L28-($L28*Settings!$B$2)-$J28-($B28+SUM($D28:$I28)))</f>
        <v/>
      </c>
      <c r="W28" s="9" t="str">
        <f>IF($A28="","",(($B28+SUM($D28:$I28)+$J28+Settings!$B$3)/(1-Settings!$B$2))-$M28)</f>
        <v/>
      </c>
      <c r="X28" s="10" t="str">
        <f t="shared" si="4"/>
        <v/>
      </c>
      <c r="Y28" s="10" t="str">
        <f t="shared" si="5"/>
        <v/>
      </c>
      <c r="Z28" s="10" t="str">
        <f t="shared" si="6"/>
        <v/>
      </c>
      <c r="AA28" s="10" t="str">
        <f t="shared" si="7"/>
        <v/>
      </c>
      <c r="AC28" s="11"/>
      <c r="AD28" s="11"/>
      <c r="AE28" s="12" t="str">
        <f t="shared" si="8"/>
        <v/>
      </c>
    </row>
    <row r="29" spans="1:31" x14ac:dyDescent="0.25">
      <c r="B29" s="9"/>
      <c r="C29" t="s">
        <v>31</v>
      </c>
      <c r="D29" s="9" t="str">
        <f>IF($A29="","",1*'Material Costs'!$D$3)</f>
        <v/>
      </c>
      <c r="E29" s="9" t="str">
        <f>IF($A29="","",1*'Material Costs'!$D$2)</f>
        <v/>
      </c>
      <c r="F29" s="9" t="str">
        <f>IF($A29="","",IF($C29="Bubble Mailer",2,1)*'Material Costs'!$D$6)</f>
        <v/>
      </c>
      <c r="G29" s="9" t="str">
        <f>IF($A29="","",1*'Material Costs'!$D$7)</f>
        <v/>
      </c>
      <c r="H29" s="9" t="str">
        <f>IF($A29="","",IF($C29="Bubble Mailer",1,0)*'Material Costs'!$D$5)</f>
        <v/>
      </c>
      <c r="I29" s="9" t="str">
        <f>IF($A29="","",IF($C29="ESE (Ding Defend)",1,0)*'Material Costs'!$D$4)</f>
        <v/>
      </c>
      <c r="J29" s="9"/>
      <c r="K29" s="9" t="str">
        <f t="shared" si="0"/>
        <v/>
      </c>
      <c r="L29" s="9"/>
      <c r="M29" s="9"/>
      <c r="N29" s="9"/>
      <c r="O29" s="9" t="str">
        <f t="shared" si="1"/>
        <v/>
      </c>
      <c r="P29" s="9"/>
      <c r="Q29" s="9" t="str">
        <f>IF($A29="","",IF($O29="", "", ROUND($O29*Settings!$B$2+Settings!$B$3,2)))</f>
        <v/>
      </c>
      <c r="R29" s="9" t="str">
        <f>IF($A29="","",IF($L29="", "", Settings!$B$4))</f>
        <v/>
      </c>
      <c r="S29" s="9" t="str">
        <f t="shared" si="2"/>
        <v/>
      </c>
      <c r="T29" s="9" t="str">
        <f t="shared" si="3"/>
        <v/>
      </c>
      <c r="U29" s="9" t="str">
        <f>IF($A29="","",IF($K29="", "", ROUND((($K29 + Settings!$B$3 + $R29) - IF($M29="",0,$M29))/(1-Settings!$B$2),2)))</f>
        <v/>
      </c>
      <c r="V29" s="9" t="str">
        <f>IF($A29="","",$L29-($L29*Settings!$B$2)-$J29-($B29+SUM($D29:$I29)))</f>
        <v/>
      </c>
      <c r="W29" s="9" t="str">
        <f>IF($A29="","",(($B29+SUM($D29:$I29)+$J29+Settings!$B$3)/(1-Settings!$B$2))-$M29)</f>
        <v/>
      </c>
      <c r="X29" s="10" t="str">
        <f t="shared" si="4"/>
        <v/>
      </c>
      <c r="Y29" s="10" t="str">
        <f t="shared" si="5"/>
        <v/>
      </c>
      <c r="Z29" s="10" t="str">
        <f t="shared" si="6"/>
        <v/>
      </c>
      <c r="AA29" s="10" t="str">
        <f t="shared" si="7"/>
        <v/>
      </c>
      <c r="AC29" s="11"/>
      <c r="AD29" s="11"/>
      <c r="AE29" s="12" t="str">
        <f t="shared" si="8"/>
        <v/>
      </c>
    </row>
    <row r="30" spans="1:31" x14ac:dyDescent="0.25">
      <c r="B30" s="9"/>
      <c r="C30" t="s">
        <v>31</v>
      </c>
      <c r="D30" s="9" t="str">
        <f>IF($A30="","",1*'Material Costs'!$D$3)</f>
        <v/>
      </c>
      <c r="E30" s="9" t="str">
        <f>IF($A30="","",1*'Material Costs'!$D$2)</f>
        <v/>
      </c>
      <c r="F30" s="9" t="str">
        <f>IF($A30="","",IF($C30="Bubble Mailer",2,1)*'Material Costs'!$D$6)</f>
        <v/>
      </c>
      <c r="G30" s="9" t="str">
        <f>IF($A30="","",1*'Material Costs'!$D$7)</f>
        <v/>
      </c>
      <c r="H30" s="9" t="str">
        <f>IF($A30="","",IF($C30="Bubble Mailer",1,0)*'Material Costs'!$D$5)</f>
        <v/>
      </c>
      <c r="I30" s="9" t="str">
        <f>IF($A30="","",IF($C30="ESE (Ding Defend)",1,0)*'Material Costs'!$D$4)</f>
        <v/>
      </c>
      <c r="J30" s="9"/>
      <c r="K30" s="9" t="str">
        <f t="shared" si="0"/>
        <v/>
      </c>
      <c r="L30" s="9"/>
      <c r="M30" s="9"/>
      <c r="N30" s="9"/>
      <c r="O30" s="9" t="str">
        <f t="shared" si="1"/>
        <v/>
      </c>
      <c r="P30" s="9"/>
      <c r="Q30" s="9" t="str">
        <f>IF($A30="","",IF($O30="", "", ROUND($O30*Settings!$B$2+Settings!$B$3,2)))</f>
        <v/>
      </c>
      <c r="R30" s="9" t="str">
        <f>IF($A30="","",IF($L30="", "", Settings!$B$4))</f>
        <v/>
      </c>
      <c r="S30" s="9" t="str">
        <f t="shared" si="2"/>
        <v/>
      </c>
      <c r="T30" s="9" t="str">
        <f t="shared" si="3"/>
        <v/>
      </c>
      <c r="U30" s="9" t="str">
        <f>IF($A30="","",IF($K30="", "", ROUND((($K30 + Settings!$B$3 + $R30) - IF($M30="",0,$M30))/(1-Settings!$B$2),2)))</f>
        <v/>
      </c>
      <c r="V30" s="9" t="str">
        <f>IF($A30="","",$L30-($L30*Settings!$B$2)-$J30-($B30+SUM($D30:$I30)))</f>
        <v/>
      </c>
      <c r="W30" s="9" t="str">
        <f>IF($A30="","",(($B30+SUM($D30:$I30)+$J30+Settings!$B$3)/(1-Settings!$B$2))-$M30)</f>
        <v/>
      </c>
      <c r="X30" s="10" t="str">
        <f t="shared" si="4"/>
        <v/>
      </c>
      <c r="Y30" s="10" t="str">
        <f t="shared" si="5"/>
        <v/>
      </c>
      <c r="Z30" s="10" t="str">
        <f t="shared" si="6"/>
        <v/>
      </c>
      <c r="AA30" s="10" t="str">
        <f t="shared" si="7"/>
        <v/>
      </c>
      <c r="AC30" s="11"/>
      <c r="AD30" s="11"/>
      <c r="AE30" s="12" t="str">
        <f t="shared" si="8"/>
        <v/>
      </c>
    </row>
    <row r="31" spans="1:31" x14ac:dyDescent="0.25">
      <c r="B31" s="9"/>
      <c r="C31" t="s">
        <v>31</v>
      </c>
      <c r="D31" s="9" t="str">
        <f>IF($A31="","",1*'Material Costs'!$D$3)</f>
        <v/>
      </c>
      <c r="E31" s="9" t="str">
        <f>IF($A31="","",1*'Material Costs'!$D$2)</f>
        <v/>
      </c>
      <c r="F31" s="9" t="str">
        <f>IF($A31="","",IF($C31="Bubble Mailer",2,1)*'Material Costs'!$D$6)</f>
        <v/>
      </c>
      <c r="G31" s="9" t="str">
        <f>IF($A31="","",1*'Material Costs'!$D$7)</f>
        <v/>
      </c>
      <c r="H31" s="9" t="str">
        <f>IF($A31="","",IF($C31="Bubble Mailer",1,0)*'Material Costs'!$D$5)</f>
        <v/>
      </c>
      <c r="I31" s="9" t="str">
        <f>IF($A31="","",IF($C31="ESE (Ding Defend)",1,0)*'Material Costs'!$D$4)</f>
        <v/>
      </c>
      <c r="J31" s="9"/>
      <c r="K31" s="9" t="str">
        <f t="shared" si="0"/>
        <v/>
      </c>
      <c r="L31" s="9"/>
      <c r="M31" s="9"/>
      <c r="N31" s="9"/>
      <c r="O31" s="9" t="str">
        <f t="shared" si="1"/>
        <v/>
      </c>
      <c r="P31" s="9"/>
      <c r="Q31" s="9" t="str">
        <f>IF($A31="","",IF($O31="", "", ROUND($O31*Settings!$B$2+Settings!$B$3,2)))</f>
        <v/>
      </c>
      <c r="R31" s="9" t="str">
        <f>IF($A31="","",IF($L31="", "", Settings!$B$4))</f>
        <v/>
      </c>
      <c r="S31" s="9" t="str">
        <f t="shared" si="2"/>
        <v/>
      </c>
      <c r="T31" s="9" t="str">
        <f t="shared" si="3"/>
        <v/>
      </c>
      <c r="U31" s="9" t="str">
        <f>IF($A31="","",IF($K31="", "", ROUND((($K31 + Settings!$B$3 + $R31) - IF($M31="",0,$M31))/(1-Settings!$B$2),2)))</f>
        <v/>
      </c>
      <c r="V31" s="9" t="str">
        <f>IF($A31="","",$L31-($L31*Settings!$B$2)-$J31-($B31+SUM($D31:$I31)))</f>
        <v/>
      </c>
      <c r="W31" s="9" t="str">
        <f>IF($A31="","",(($B31+SUM($D31:$I31)+$J31+Settings!$B$3)/(1-Settings!$B$2))-$M31)</f>
        <v/>
      </c>
      <c r="X31" s="10" t="str">
        <f t="shared" si="4"/>
        <v/>
      </c>
      <c r="Y31" s="10" t="str">
        <f t="shared" si="5"/>
        <v/>
      </c>
      <c r="Z31" s="10" t="str">
        <f t="shared" si="6"/>
        <v/>
      </c>
      <c r="AA31" s="10" t="str">
        <f t="shared" si="7"/>
        <v/>
      </c>
      <c r="AC31" s="11"/>
      <c r="AD31" s="11"/>
      <c r="AE31" s="12" t="str">
        <f t="shared" si="8"/>
        <v/>
      </c>
    </row>
    <row r="32" spans="1:31" x14ac:dyDescent="0.25">
      <c r="B32" s="9"/>
      <c r="C32" t="s">
        <v>31</v>
      </c>
      <c r="D32" s="9" t="str">
        <f>IF($A32="","",1*'Material Costs'!$D$3)</f>
        <v/>
      </c>
      <c r="E32" s="9" t="str">
        <f>IF($A32="","",1*'Material Costs'!$D$2)</f>
        <v/>
      </c>
      <c r="F32" s="9" t="str">
        <f>IF($A32="","",IF($C32="Bubble Mailer",2,1)*'Material Costs'!$D$6)</f>
        <v/>
      </c>
      <c r="G32" s="9" t="str">
        <f>IF($A32="","",1*'Material Costs'!$D$7)</f>
        <v/>
      </c>
      <c r="H32" s="9" t="str">
        <f>IF($A32="","",IF($C32="Bubble Mailer",1,0)*'Material Costs'!$D$5)</f>
        <v/>
      </c>
      <c r="I32" s="9" t="str">
        <f>IF($A32="","",IF($C32="ESE (Ding Defend)",1,0)*'Material Costs'!$D$4)</f>
        <v/>
      </c>
      <c r="J32" s="9"/>
      <c r="K32" s="9" t="str">
        <f t="shared" si="0"/>
        <v/>
      </c>
      <c r="L32" s="9"/>
      <c r="M32" s="9"/>
      <c r="N32" s="9"/>
      <c r="O32" s="9" t="str">
        <f t="shared" si="1"/>
        <v/>
      </c>
      <c r="P32" s="9"/>
      <c r="Q32" s="9" t="str">
        <f>IF($A32="","",IF($O32="", "", ROUND($O32*Settings!$B$2+Settings!$B$3,2)))</f>
        <v/>
      </c>
      <c r="R32" s="9" t="str">
        <f>IF($A32="","",IF($L32="", "", Settings!$B$4))</f>
        <v/>
      </c>
      <c r="S32" s="9" t="str">
        <f t="shared" si="2"/>
        <v/>
      </c>
      <c r="T32" s="9" t="str">
        <f t="shared" si="3"/>
        <v/>
      </c>
      <c r="U32" s="9" t="str">
        <f>IF($A32="","",IF($K32="", "", ROUND((($K32 + Settings!$B$3 + $R32) - IF($M32="",0,$M32))/(1-Settings!$B$2),2)))</f>
        <v/>
      </c>
      <c r="V32" s="9" t="str">
        <f>IF($A32="","",$L32-($L32*Settings!$B$2)-$J32-($B32+SUM($D32:$I32)))</f>
        <v/>
      </c>
      <c r="W32" s="9" t="str">
        <f>IF($A32="","",(($B32+SUM($D32:$I32)+$J32+Settings!$B$3)/(1-Settings!$B$2))-$M32)</f>
        <v/>
      </c>
      <c r="X32" s="10" t="str">
        <f t="shared" si="4"/>
        <v/>
      </c>
      <c r="Y32" s="10" t="str">
        <f t="shared" si="5"/>
        <v/>
      </c>
      <c r="Z32" s="10" t="str">
        <f t="shared" si="6"/>
        <v/>
      </c>
      <c r="AA32" s="10" t="str">
        <f t="shared" si="7"/>
        <v/>
      </c>
      <c r="AC32" s="11"/>
      <c r="AD32" s="11"/>
      <c r="AE32" s="12" t="str">
        <f t="shared" si="8"/>
        <v/>
      </c>
    </row>
    <row r="33" spans="2:31" x14ac:dyDescent="0.25">
      <c r="B33" s="9"/>
      <c r="C33" t="s">
        <v>31</v>
      </c>
      <c r="D33" s="9" t="str">
        <f>IF($A33="","",1*'Material Costs'!$D$3)</f>
        <v/>
      </c>
      <c r="E33" s="9" t="str">
        <f>IF($A33="","",1*'Material Costs'!$D$2)</f>
        <v/>
      </c>
      <c r="F33" s="9" t="str">
        <f>IF($A33="","",IF($C33="Bubble Mailer",2,1)*'Material Costs'!$D$6)</f>
        <v/>
      </c>
      <c r="G33" s="9" t="str">
        <f>IF($A33="","",1*'Material Costs'!$D$7)</f>
        <v/>
      </c>
      <c r="H33" s="9" t="str">
        <f>IF($A33="","",IF($C33="Bubble Mailer",1,0)*'Material Costs'!$D$5)</f>
        <v/>
      </c>
      <c r="I33" s="9" t="str">
        <f>IF($A33="","",IF($C33="ESE (Ding Defend)",1,0)*'Material Costs'!$D$4)</f>
        <v/>
      </c>
      <c r="J33" s="9"/>
      <c r="K33" s="9" t="str">
        <f t="shared" si="0"/>
        <v/>
      </c>
      <c r="L33" s="9"/>
      <c r="M33" s="9"/>
      <c r="N33" s="9"/>
      <c r="O33" s="9" t="str">
        <f t="shared" si="1"/>
        <v/>
      </c>
      <c r="P33" s="9"/>
      <c r="Q33" s="9" t="str">
        <f>IF($A33="","",IF($O33="", "", ROUND($O33*Settings!$B$2+Settings!$B$3,2)))</f>
        <v/>
      </c>
      <c r="R33" s="9" t="str">
        <f>IF($A33="","",IF($L33="", "", Settings!$B$4))</f>
        <v/>
      </c>
      <c r="S33" s="9" t="str">
        <f t="shared" si="2"/>
        <v/>
      </c>
      <c r="T33" s="9" t="str">
        <f t="shared" si="3"/>
        <v/>
      </c>
      <c r="U33" s="9" t="str">
        <f>IF($A33="","",IF($K33="", "", ROUND((($K33 + Settings!$B$3 + $R33) - IF($M33="",0,$M33))/(1-Settings!$B$2),2)))</f>
        <v/>
      </c>
      <c r="V33" s="9" t="str">
        <f>IF($A33="","",$L33-($L33*Settings!$B$2)-$J33-($B33+SUM($D33:$I33)))</f>
        <v/>
      </c>
      <c r="W33" s="9" t="str">
        <f>IF($A33="","",(($B33+SUM($D33:$I33)+$J33+Settings!$B$3)/(1-Settings!$B$2))-$M33)</f>
        <v/>
      </c>
      <c r="X33" s="10" t="str">
        <f t="shared" si="4"/>
        <v/>
      </c>
      <c r="Y33" s="10" t="str">
        <f t="shared" si="5"/>
        <v/>
      </c>
      <c r="Z33" s="10" t="str">
        <f t="shared" si="6"/>
        <v/>
      </c>
      <c r="AA33" s="10" t="str">
        <f t="shared" si="7"/>
        <v/>
      </c>
      <c r="AC33" s="11"/>
      <c r="AD33" s="11"/>
      <c r="AE33" s="12" t="str">
        <f t="shared" si="8"/>
        <v/>
      </c>
    </row>
    <row r="34" spans="2:31" x14ac:dyDescent="0.25">
      <c r="B34" s="9"/>
      <c r="C34" t="s">
        <v>31</v>
      </c>
      <c r="D34" s="9" t="str">
        <f>IF($A34="","",1*'Material Costs'!$D$3)</f>
        <v/>
      </c>
      <c r="E34" s="9" t="str">
        <f>IF($A34="","",1*'Material Costs'!$D$2)</f>
        <v/>
      </c>
      <c r="F34" s="9" t="str">
        <f>IF($A34="","",IF($C34="Bubble Mailer",2,1)*'Material Costs'!$D$6)</f>
        <v/>
      </c>
      <c r="G34" s="9" t="str">
        <f>IF($A34="","",1*'Material Costs'!$D$7)</f>
        <v/>
      </c>
      <c r="H34" s="9" t="str">
        <f>IF($A34="","",IF($C34="Bubble Mailer",1,0)*'Material Costs'!$D$5)</f>
        <v/>
      </c>
      <c r="I34" s="9" t="str">
        <f>IF($A34="","",IF($C34="ESE (Ding Defend)",1,0)*'Material Costs'!$D$4)</f>
        <v/>
      </c>
      <c r="J34" s="9"/>
      <c r="K34" s="9" t="str">
        <f t="shared" si="0"/>
        <v/>
      </c>
      <c r="L34" s="9"/>
      <c r="M34" s="9"/>
      <c r="N34" s="9"/>
      <c r="O34" s="9" t="str">
        <f t="shared" si="1"/>
        <v/>
      </c>
      <c r="P34" s="9"/>
      <c r="Q34" s="9" t="str">
        <f>IF($A34="","",IF($O34="", "", ROUND($O34*Settings!$B$2+Settings!$B$3,2)))</f>
        <v/>
      </c>
      <c r="R34" s="9" t="str">
        <f>IF($A34="","",IF($L34="", "", Settings!$B$4))</f>
        <v/>
      </c>
      <c r="S34" s="9" t="str">
        <f t="shared" si="2"/>
        <v/>
      </c>
      <c r="T34" s="9" t="str">
        <f t="shared" si="3"/>
        <v/>
      </c>
      <c r="U34" s="9" t="str">
        <f>IF($A34="","",IF($K34="", "", ROUND((($K34 + Settings!$B$3 + $R34) - IF($M34="",0,$M34))/(1-Settings!$B$2),2)))</f>
        <v/>
      </c>
      <c r="V34" s="9" t="str">
        <f>IF($A34="","",$L34-($L34*Settings!$B$2)-$J34-($B34+SUM($D34:$I34)))</f>
        <v/>
      </c>
      <c r="W34" s="9" t="str">
        <f>IF($A34="","",(($B34+SUM($D34:$I34)+$J34+Settings!$B$3)/(1-Settings!$B$2))-$M34)</f>
        <v/>
      </c>
      <c r="X34" s="10" t="str">
        <f t="shared" si="4"/>
        <v/>
      </c>
      <c r="Y34" s="10" t="str">
        <f t="shared" si="5"/>
        <v/>
      </c>
      <c r="Z34" s="10" t="str">
        <f t="shared" si="6"/>
        <v/>
      </c>
      <c r="AA34" s="10" t="str">
        <f t="shared" si="7"/>
        <v/>
      </c>
      <c r="AC34" s="11"/>
      <c r="AD34" s="11"/>
      <c r="AE34" s="12" t="str">
        <f t="shared" si="8"/>
        <v/>
      </c>
    </row>
    <row r="35" spans="2:31" x14ac:dyDescent="0.25">
      <c r="B35" s="9"/>
      <c r="C35" t="s">
        <v>31</v>
      </c>
      <c r="D35" s="9" t="str">
        <f>IF($A35="","",1*'Material Costs'!$D$3)</f>
        <v/>
      </c>
      <c r="E35" s="9" t="str">
        <f>IF($A35="","",1*'Material Costs'!$D$2)</f>
        <v/>
      </c>
      <c r="F35" s="9" t="str">
        <f>IF($A35="","",IF($C35="Bubble Mailer",2,1)*'Material Costs'!$D$6)</f>
        <v/>
      </c>
      <c r="G35" s="9" t="str">
        <f>IF($A35="","",1*'Material Costs'!$D$7)</f>
        <v/>
      </c>
      <c r="H35" s="9" t="str">
        <f>IF($A35="","",IF($C35="Bubble Mailer",1,0)*'Material Costs'!$D$5)</f>
        <v/>
      </c>
      <c r="I35" s="9" t="str">
        <f>IF($A35="","",IF($C35="ESE (Ding Defend)",1,0)*'Material Costs'!$D$4)</f>
        <v/>
      </c>
      <c r="J35" s="9"/>
      <c r="K35" s="9" t="str">
        <f t="shared" si="0"/>
        <v/>
      </c>
      <c r="L35" s="9"/>
      <c r="M35" s="9"/>
      <c r="N35" s="9"/>
      <c r="O35" s="9" t="str">
        <f t="shared" si="1"/>
        <v/>
      </c>
      <c r="P35" s="9"/>
      <c r="Q35" s="9" t="str">
        <f>IF($A35="","",IF($O35="", "", ROUND($O35*Settings!$B$2+Settings!$B$3,2)))</f>
        <v/>
      </c>
      <c r="R35" s="9" t="str">
        <f>IF($A35="","",IF($L35="", "", Settings!$B$4))</f>
        <v/>
      </c>
      <c r="S35" s="9" t="str">
        <f t="shared" si="2"/>
        <v/>
      </c>
      <c r="T35" s="9" t="str">
        <f t="shared" si="3"/>
        <v/>
      </c>
      <c r="U35" s="9" t="str">
        <f>IF($A35="","",IF($K35="", "", ROUND((($K35 + Settings!$B$3 + $R35) - IF($M35="",0,$M35))/(1-Settings!$B$2),2)))</f>
        <v/>
      </c>
      <c r="V35" s="9" t="str">
        <f>IF($A35="","",$L35-($L35*Settings!$B$2)-$J35-($B35+SUM($D35:$I35)))</f>
        <v/>
      </c>
      <c r="W35" s="9" t="str">
        <f>IF($A35="","",(($B35+SUM($D35:$I35)+$J35+Settings!$B$3)/(1-Settings!$B$2))-$M35)</f>
        <v/>
      </c>
      <c r="X35" s="10" t="str">
        <f t="shared" si="4"/>
        <v/>
      </c>
      <c r="Y35" s="10" t="str">
        <f t="shared" si="5"/>
        <v/>
      </c>
      <c r="Z35" s="10" t="str">
        <f t="shared" si="6"/>
        <v/>
      </c>
      <c r="AA35" s="10" t="str">
        <f t="shared" si="7"/>
        <v/>
      </c>
      <c r="AC35" s="11"/>
      <c r="AD35" s="11"/>
      <c r="AE35" s="12" t="str">
        <f t="shared" si="8"/>
        <v/>
      </c>
    </row>
    <row r="36" spans="2:31" x14ac:dyDescent="0.25">
      <c r="B36" s="9"/>
      <c r="C36" t="s">
        <v>31</v>
      </c>
      <c r="D36" s="9" t="str">
        <f>IF($A36="","",1*'Material Costs'!$D$3)</f>
        <v/>
      </c>
      <c r="E36" s="9" t="str">
        <f>IF($A36="","",1*'Material Costs'!$D$2)</f>
        <v/>
      </c>
      <c r="F36" s="9" t="str">
        <f>IF($A36="","",IF($C36="Bubble Mailer",2,1)*'Material Costs'!$D$6)</f>
        <v/>
      </c>
      <c r="G36" s="9" t="str">
        <f>IF($A36="","",1*'Material Costs'!$D$7)</f>
        <v/>
      </c>
      <c r="H36" s="9" t="str">
        <f>IF($A36="","",IF($C36="Bubble Mailer",1,0)*'Material Costs'!$D$5)</f>
        <v/>
      </c>
      <c r="I36" s="9" t="str">
        <f>IF($A36="","",IF($C36="ESE (Ding Defend)",1,0)*'Material Costs'!$D$4)</f>
        <v/>
      </c>
      <c r="J36" s="9"/>
      <c r="K36" s="9" t="str">
        <f t="shared" si="0"/>
        <v/>
      </c>
      <c r="L36" s="9"/>
      <c r="M36" s="9"/>
      <c r="N36" s="9"/>
      <c r="O36" s="9" t="str">
        <f t="shared" si="1"/>
        <v/>
      </c>
      <c r="P36" s="9"/>
      <c r="Q36" s="9" t="str">
        <f>IF($A36="","",IF($O36="", "", ROUND($O36*Settings!$B$2+Settings!$B$3,2)))</f>
        <v/>
      </c>
      <c r="R36" s="9" t="str">
        <f>IF($A36="","",IF($L36="", "", Settings!$B$4))</f>
        <v/>
      </c>
      <c r="S36" s="9" t="str">
        <f t="shared" si="2"/>
        <v/>
      </c>
      <c r="T36" s="9" t="str">
        <f t="shared" si="3"/>
        <v/>
      </c>
      <c r="U36" s="9" t="str">
        <f>IF($A36="","",IF($K36="", "", ROUND((($K36 + Settings!$B$3 + $R36) - IF($M36="",0,$M36))/(1-Settings!$B$2),2)))</f>
        <v/>
      </c>
      <c r="V36" s="9" t="str">
        <f>IF($A36="","",$L36-($L36*Settings!$B$2)-$J36-($B36+SUM($D36:$I36)))</f>
        <v/>
      </c>
      <c r="W36" s="9" t="str">
        <f>IF($A36="","",(($B36+SUM($D36:$I36)+$J36+Settings!$B$3)/(1-Settings!$B$2))-$M36)</f>
        <v/>
      </c>
      <c r="X36" s="10" t="str">
        <f t="shared" si="4"/>
        <v/>
      </c>
      <c r="Y36" s="10" t="str">
        <f t="shared" si="5"/>
        <v/>
      </c>
      <c r="Z36" s="10" t="str">
        <f t="shared" si="6"/>
        <v/>
      </c>
      <c r="AA36" s="10" t="str">
        <f t="shared" si="7"/>
        <v/>
      </c>
      <c r="AC36" s="11"/>
      <c r="AD36" s="11"/>
      <c r="AE36" s="12" t="str">
        <f t="shared" si="8"/>
        <v/>
      </c>
    </row>
    <row r="37" spans="2:31" x14ac:dyDescent="0.25">
      <c r="B37" s="9"/>
      <c r="C37" t="s">
        <v>31</v>
      </c>
      <c r="D37" s="9" t="str">
        <f>IF($A37="","",1*'Material Costs'!$D$3)</f>
        <v/>
      </c>
      <c r="E37" s="9" t="str">
        <f>IF($A37="","",1*'Material Costs'!$D$2)</f>
        <v/>
      </c>
      <c r="F37" s="9" t="str">
        <f>IF($A37="","",IF($C37="Bubble Mailer",2,1)*'Material Costs'!$D$6)</f>
        <v/>
      </c>
      <c r="G37" s="9" t="str">
        <f>IF($A37="","",1*'Material Costs'!$D$7)</f>
        <v/>
      </c>
      <c r="H37" s="9" t="str">
        <f>IF($A37="","",IF($C37="Bubble Mailer",1,0)*'Material Costs'!$D$5)</f>
        <v/>
      </c>
      <c r="I37" s="9" t="str">
        <f>IF($A37="","",IF($C37="ESE (Ding Defend)",1,0)*'Material Costs'!$D$4)</f>
        <v/>
      </c>
      <c r="J37" s="9"/>
      <c r="K37" s="9" t="str">
        <f t="shared" si="0"/>
        <v/>
      </c>
      <c r="L37" s="9"/>
      <c r="M37" s="9"/>
      <c r="N37" s="9"/>
      <c r="O37" s="9" t="str">
        <f t="shared" si="1"/>
        <v/>
      </c>
      <c r="P37" s="9"/>
      <c r="Q37" s="9" t="str">
        <f>IF($A37="","",IF($O37="", "", ROUND($O37*Settings!$B$2+Settings!$B$3,2)))</f>
        <v/>
      </c>
      <c r="R37" s="9" t="str">
        <f>IF($A37="","",IF($L37="", "", Settings!$B$4))</f>
        <v/>
      </c>
      <c r="S37" s="9" t="str">
        <f t="shared" si="2"/>
        <v/>
      </c>
      <c r="T37" s="9" t="str">
        <f t="shared" si="3"/>
        <v/>
      </c>
      <c r="U37" s="9" t="str">
        <f>IF($A37="","",IF($K37="", "", ROUND((($K37 + Settings!$B$3 + $R37) - IF($M37="",0,$M37))/(1-Settings!$B$2),2)))</f>
        <v/>
      </c>
      <c r="V37" s="9" t="str">
        <f>IF($A37="","",$L37-($L37*Settings!$B$2)-$J37-($B37+SUM($D37:$I37)))</f>
        <v/>
      </c>
      <c r="W37" s="9" t="str">
        <f>IF($A37="","",(($B37+SUM($D37:$I37)+$J37+Settings!$B$3)/(1-Settings!$B$2))-$M37)</f>
        <v/>
      </c>
      <c r="X37" s="10" t="str">
        <f t="shared" si="4"/>
        <v/>
      </c>
      <c r="Y37" s="10" t="str">
        <f t="shared" si="5"/>
        <v/>
      </c>
      <c r="Z37" s="10" t="str">
        <f t="shared" si="6"/>
        <v/>
      </c>
      <c r="AA37" s="10" t="str">
        <f t="shared" si="7"/>
        <v/>
      </c>
      <c r="AC37" s="11"/>
      <c r="AD37" s="11"/>
      <c r="AE37" s="12" t="str">
        <f t="shared" si="8"/>
        <v/>
      </c>
    </row>
    <row r="38" spans="2:31" x14ac:dyDescent="0.25">
      <c r="B38" s="9"/>
      <c r="C38" t="s">
        <v>31</v>
      </c>
      <c r="D38" s="9" t="str">
        <f>IF($A38="","",1*'Material Costs'!$D$3)</f>
        <v/>
      </c>
      <c r="E38" s="9" t="str">
        <f>IF($A38="","",1*'Material Costs'!$D$2)</f>
        <v/>
      </c>
      <c r="F38" s="9" t="str">
        <f>IF($A38="","",IF($C38="Bubble Mailer",2,1)*'Material Costs'!$D$6)</f>
        <v/>
      </c>
      <c r="G38" s="9" t="str">
        <f>IF($A38="","",1*'Material Costs'!$D$7)</f>
        <v/>
      </c>
      <c r="H38" s="9" t="str">
        <f>IF($A38="","",IF($C38="Bubble Mailer",1,0)*'Material Costs'!$D$5)</f>
        <v/>
      </c>
      <c r="I38" s="9" t="str">
        <f>IF($A38="","",IF($C38="ESE (Ding Defend)",1,0)*'Material Costs'!$D$4)</f>
        <v/>
      </c>
      <c r="J38" s="9"/>
      <c r="K38" s="9" t="str">
        <f t="shared" si="0"/>
        <v/>
      </c>
      <c r="L38" s="9"/>
      <c r="M38" s="9"/>
      <c r="N38" s="9"/>
      <c r="O38" s="9" t="str">
        <f t="shared" si="1"/>
        <v/>
      </c>
      <c r="P38" s="9"/>
      <c r="Q38" s="9" t="str">
        <f>IF($A38="","",IF($O38="", "", ROUND($O38*Settings!$B$2+Settings!$B$3,2)))</f>
        <v/>
      </c>
      <c r="R38" s="9" t="str">
        <f>IF($A38="","",IF($L38="", "", Settings!$B$4))</f>
        <v/>
      </c>
      <c r="S38" s="9" t="str">
        <f t="shared" si="2"/>
        <v/>
      </c>
      <c r="T38" s="9" t="str">
        <f t="shared" si="3"/>
        <v/>
      </c>
      <c r="U38" s="9" t="str">
        <f>IF($A38="","",IF($K38="", "", ROUND((($K38 + Settings!$B$3 + $R38) - IF($M38="",0,$M38))/(1-Settings!$B$2),2)))</f>
        <v/>
      </c>
      <c r="V38" s="9" t="str">
        <f>IF($A38="","",$L38-($L38*Settings!$B$2)-$J38-($B38+SUM($D38:$I38)))</f>
        <v/>
      </c>
      <c r="W38" s="9" t="str">
        <f>IF($A38="","",(($B38+SUM($D38:$I38)+$J38+Settings!$B$3)/(1-Settings!$B$2))-$M38)</f>
        <v/>
      </c>
      <c r="X38" s="10" t="str">
        <f t="shared" si="4"/>
        <v/>
      </c>
      <c r="Y38" s="10" t="str">
        <f t="shared" si="5"/>
        <v/>
      </c>
      <c r="Z38" s="10" t="str">
        <f t="shared" si="6"/>
        <v/>
      </c>
      <c r="AA38" s="10" t="str">
        <f t="shared" si="7"/>
        <v/>
      </c>
      <c r="AC38" s="11"/>
      <c r="AD38" s="11"/>
      <c r="AE38" s="12" t="str">
        <f t="shared" si="8"/>
        <v/>
      </c>
    </row>
    <row r="39" spans="2:31" x14ac:dyDescent="0.25">
      <c r="B39" s="9"/>
      <c r="C39" t="s">
        <v>31</v>
      </c>
      <c r="D39" s="9" t="str">
        <f>IF($A39="","",1*'Material Costs'!$D$3)</f>
        <v/>
      </c>
      <c r="E39" s="9" t="str">
        <f>IF($A39="","",1*'Material Costs'!$D$2)</f>
        <v/>
      </c>
      <c r="F39" s="9" t="str">
        <f>IF($A39="","",IF($C39="Bubble Mailer",2,1)*'Material Costs'!$D$6)</f>
        <v/>
      </c>
      <c r="G39" s="9" t="str">
        <f>IF($A39="","",1*'Material Costs'!$D$7)</f>
        <v/>
      </c>
      <c r="H39" s="9" t="str">
        <f>IF($A39="","",IF($C39="Bubble Mailer",1,0)*'Material Costs'!$D$5)</f>
        <v/>
      </c>
      <c r="I39" s="9" t="str">
        <f>IF($A39="","",IF($C39="ESE (Ding Defend)",1,0)*'Material Costs'!$D$4)</f>
        <v/>
      </c>
      <c r="J39" s="9"/>
      <c r="K39" s="9" t="str">
        <f t="shared" si="0"/>
        <v/>
      </c>
      <c r="L39" s="9"/>
      <c r="M39" s="9"/>
      <c r="N39" s="9"/>
      <c r="O39" s="9" t="str">
        <f t="shared" si="1"/>
        <v/>
      </c>
      <c r="P39" s="9"/>
      <c r="Q39" s="9" t="str">
        <f>IF($A39="","",IF($O39="", "", ROUND($O39*Settings!$B$2+Settings!$B$3,2)))</f>
        <v/>
      </c>
      <c r="R39" s="9" t="str">
        <f>IF($A39="","",IF($L39="", "", Settings!$B$4))</f>
        <v/>
      </c>
      <c r="S39" s="9" t="str">
        <f t="shared" si="2"/>
        <v/>
      </c>
      <c r="T39" s="9" t="str">
        <f t="shared" si="3"/>
        <v/>
      </c>
      <c r="U39" s="9" t="str">
        <f>IF($A39="","",IF($K39="", "", ROUND((($K39 + Settings!$B$3 + $R39) - IF($M39="",0,$M39))/(1-Settings!$B$2),2)))</f>
        <v/>
      </c>
      <c r="V39" s="9" t="str">
        <f>IF($A39="","",$L39-($L39*Settings!$B$2)-$J39-($B39+SUM($D39:$I39)))</f>
        <v/>
      </c>
      <c r="W39" s="9" t="str">
        <f>IF($A39="","",(($B39+SUM($D39:$I39)+$J39+Settings!$B$3)/(1-Settings!$B$2))-$M39)</f>
        <v/>
      </c>
      <c r="X39" s="10" t="str">
        <f t="shared" si="4"/>
        <v/>
      </c>
      <c r="Y39" s="10" t="str">
        <f t="shared" si="5"/>
        <v/>
      </c>
      <c r="Z39" s="10" t="str">
        <f t="shared" si="6"/>
        <v/>
      </c>
      <c r="AA39" s="10" t="str">
        <f t="shared" si="7"/>
        <v/>
      </c>
      <c r="AC39" s="11"/>
      <c r="AD39" s="11"/>
      <c r="AE39" s="12" t="str">
        <f t="shared" si="8"/>
        <v/>
      </c>
    </row>
    <row r="40" spans="2:31" x14ac:dyDescent="0.25">
      <c r="B40" s="9"/>
      <c r="C40" t="s">
        <v>31</v>
      </c>
      <c r="D40" s="9" t="str">
        <f>IF($A40="","",1*'Material Costs'!$D$3)</f>
        <v/>
      </c>
      <c r="E40" s="9" t="str">
        <f>IF($A40="","",1*'Material Costs'!$D$2)</f>
        <v/>
      </c>
      <c r="F40" s="9" t="str">
        <f>IF($A40="","",IF($C40="Bubble Mailer",2,1)*'Material Costs'!$D$6)</f>
        <v/>
      </c>
      <c r="G40" s="9" t="str">
        <f>IF($A40="","",1*'Material Costs'!$D$7)</f>
        <v/>
      </c>
      <c r="H40" s="9" t="str">
        <f>IF($A40="","",IF($C40="Bubble Mailer",1,0)*'Material Costs'!$D$5)</f>
        <v/>
      </c>
      <c r="I40" s="9" t="str">
        <f>IF($A40="","",IF($C40="ESE (Ding Defend)",1,0)*'Material Costs'!$D$4)</f>
        <v/>
      </c>
      <c r="J40" s="9"/>
      <c r="K40" s="9" t="str">
        <f t="shared" si="0"/>
        <v/>
      </c>
      <c r="L40" s="9"/>
      <c r="M40" s="9"/>
      <c r="N40" s="9"/>
      <c r="O40" s="9" t="str">
        <f t="shared" si="1"/>
        <v/>
      </c>
      <c r="P40" s="9"/>
      <c r="Q40" s="9" t="str">
        <f>IF($A40="","",IF($O40="", "", ROUND($O40*Settings!$B$2+Settings!$B$3,2)))</f>
        <v/>
      </c>
      <c r="R40" s="9" t="str">
        <f>IF($A40="","",IF($L40="", "", Settings!$B$4))</f>
        <v/>
      </c>
      <c r="S40" s="9" t="str">
        <f t="shared" si="2"/>
        <v/>
      </c>
      <c r="T40" s="9" t="str">
        <f t="shared" si="3"/>
        <v/>
      </c>
      <c r="U40" s="9" t="str">
        <f>IF($A40="","",IF($K40="", "", ROUND((($K40 + Settings!$B$3 + $R40) - IF($M40="",0,$M40))/(1-Settings!$B$2),2)))</f>
        <v/>
      </c>
      <c r="V40" s="9" t="str">
        <f>IF($A40="","",$L40-($L40*Settings!$B$2)-$J40-($B40+SUM($D40:$I40)))</f>
        <v/>
      </c>
      <c r="W40" s="9" t="str">
        <f>IF($A40="","",(($B40+SUM($D40:$I40)+$J40+Settings!$B$3)/(1-Settings!$B$2))-$M40)</f>
        <v/>
      </c>
      <c r="X40" s="10" t="str">
        <f t="shared" si="4"/>
        <v/>
      </c>
      <c r="Y40" s="10" t="str">
        <f t="shared" si="5"/>
        <v/>
      </c>
      <c r="Z40" s="10" t="str">
        <f t="shared" si="6"/>
        <v/>
      </c>
      <c r="AA40" s="10" t="str">
        <f t="shared" si="7"/>
        <v/>
      </c>
      <c r="AC40" s="11"/>
      <c r="AD40" s="11"/>
      <c r="AE40" s="12" t="str">
        <f t="shared" si="8"/>
        <v/>
      </c>
    </row>
    <row r="41" spans="2:31" x14ac:dyDescent="0.25">
      <c r="B41" s="9"/>
      <c r="C41" t="s">
        <v>31</v>
      </c>
      <c r="D41" s="9" t="str">
        <f>IF($A41="","",1*'Material Costs'!$D$3)</f>
        <v/>
      </c>
      <c r="E41" s="9" t="str">
        <f>IF($A41="","",1*'Material Costs'!$D$2)</f>
        <v/>
      </c>
      <c r="F41" s="9" t="str">
        <f>IF($A41="","",IF($C41="Bubble Mailer",2,1)*'Material Costs'!$D$6)</f>
        <v/>
      </c>
      <c r="G41" s="9" t="str">
        <f>IF($A41="","",1*'Material Costs'!$D$7)</f>
        <v/>
      </c>
      <c r="H41" s="9" t="str">
        <f>IF($A41="","",IF($C41="Bubble Mailer",1,0)*'Material Costs'!$D$5)</f>
        <v/>
      </c>
      <c r="I41" s="9" t="str">
        <f>IF($A41="","",IF($C41="ESE (Ding Defend)",1,0)*'Material Costs'!$D$4)</f>
        <v/>
      </c>
      <c r="J41" s="9"/>
      <c r="K41" s="9" t="str">
        <f t="shared" si="0"/>
        <v/>
      </c>
      <c r="L41" s="9"/>
      <c r="M41" s="9"/>
      <c r="N41" s="9"/>
      <c r="O41" s="9" t="str">
        <f t="shared" si="1"/>
        <v/>
      </c>
      <c r="P41" s="9"/>
      <c r="Q41" s="9" t="str">
        <f>IF($A41="","",IF($O41="", "", ROUND($O41*Settings!$B$2+Settings!$B$3,2)))</f>
        <v/>
      </c>
      <c r="R41" s="9" t="str">
        <f>IF($A41="","",IF($L41="", "", Settings!$B$4))</f>
        <v/>
      </c>
      <c r="S41" s="9" t="str">
        <f t="shared" si="2"/>
        <v/>
      </c>
      <c r="T41" s="9" t="str">
        <f t="shared" si="3"/>
        <v/>
      </c>
      <c r="U41" s="9" t="str">
        <f>IF($A41="","",IF($K41="", "", ROUND((($K41 + Settings!$B$3 + $R41) - IF($M41="",0,$M41))/(1-Settings!$B$2),2)))</f>
        <v/>
      </c>
      <c r="V41" s="9" t="str">
        <f>IF($A41="","",$L41-($L41*Settings!$B$2)-$J41-($B41+SUM($D41:$I41)))</f>
        <v/>
      </c>
      <c r="W41" s="9" t="str">
        <f>IF($A41="","",(($B41+SUM($D41:$I41)+$J41+Settings!$B$3)/(1-Settings!$B$2))-$M41)</f>
        <v/>
      </c>
      <c r="X41" s="10" t="str">
        <f t="shared" si="4"/>
        <v/>
      </c>
      <c r="Y41" s="10" t="str">
        <f t="shared" si="5"/>
        <v/>
      </c>
      <c r="Z41" s="10" t="str">
        <f t="shared" si="6"/>
        <v/>
      </c>
      <c r="AA41" s="10" t="str">
        <f t="shared" si="7"/>
        <v/>
      </c>
      <c r="AC41" s="11"/>
      <c r="AD41" s="11"/>
      <c r="AE41" s="12" t="str">
        <f t="shared" si="8"/>
        <v/>
      </c>
    </row>
    <row r="42" spans="2:31" x14ac:dyDescent="0.25">
      <c r="B42" s="9"/>
      <c r="C42" t="s">
        <v>31</v>
      </c>
      <c r="D42" s="9" t="str">
        <f>IF($A42="","",1*'Material Costs'!$D$3)</f>
        <v/>
      </c>
      <c r="E42" s="9" t="str">
        <f>IF($A42="","",1*'Material Costs'!$D$2)</f>
        <v/>
      </c>
      <c r="F42" s="9" t="str">
        <f>IF($A42="","",IF($C42="Bubble Mailer",2,1)*'Material Costs'!$D$6)</f>
        <v/>
      </c>
      <c r="G42" s="9" t="str">
        <f>IF($A42="","",1*'Material Costs'!$D$7)</f>
        <v/>
      </c>
      <c r="H42" s="9" t="str">
        <f>IF($A42="","",IF($C42="Bubble Mailer",1,0)*'Material Costs'!$D$5)</f>
        <v/>
      </c>
      <c r="I42" s="9" t="str">
        <f>IF($A42="","",IF($C42="ESE (Ding Defend)",1,0)*'Material Costs'!$D$4)</f>
        <v/>
      </c>
      <c r="J42" s="9"/>
      <c r="K42" s="9" t="str">
        <f t="shared" si="0"/>
        <v/>
      </c>
      <c r="L42" s="9"/>
      <c r="M42" s="9"/>
      <c r="N42" s="9"/>
      <c r="O42" s="9" t="str">
        <f t="shared" si="1"/>
        <v/>
      </c>
      <c r="P42" s="9"/>
      <c r="Q42" s="9" t="str">
        <f>IF($A42="","",IF($O42="", "", ROUND($O42*Settings!$B$2+Settings!$B$3,2)))</f>
        <v/>
      </c>
      <c r="R42" s="9" t="str">
        <f>IF($A42="","",IF($L42="", "", Settings!$B$4))</f>
        <v/>
      </c>
      <c r="S42" s="9" t="str">
        <f t="shared" si="2"/>
        <v/>
      </c>
      <c r="T42" s="9" t="str">
        <f t="shared" si="3"/>
        <v/>
      </c>
      <c r="U42" s="9" t="str">
        <f>IF($A42="","",IF($K42="", "", ROUND((($K42 + Settings!$B$3 + $R42) - IF($M42="",0,$M42))/(1-Settings!$B$2),2)))</f>
        <v/>
      </c>
      <c r="V42" s="9" t="str">
        <f>IF($A42="","",$L42-($L42*Settings!$B$2)-$J42-($B42+SUM($D42:$I42)))</f>
        <v/>
      </c>
      <c r="W42" s="9" t="str">
        <f>IF($A42="","",(($B42+SUM($D42:$I42)+$J42+Settings!$B$3)/(1-Settings!$B$2))-$M42)</f>
        <v/>
      </c>
      <c r="X42" s="10" t="str">
        <f t="shared" si="4"/>
        <v/>
      </c>
      <c r="Y42" s="10" t="str">
        <f t="shared" si="5"/>
        <v/>
      </c>
      <c r="Z42" s="10" t="str">
        <f t="shared" si="6"/>
        <v/>
      </c>
      <c r="AA42" s="10" t="str">
        <f t="shared" si="7"/>
        <v/>
      </c>
      <c r="AC42" s="11"/>
      <c r="AD42" s="11"/>
      <c r="AE42" s="12" t="str">
        <f t="shared" si="8"/>
        <v/>
      </c>
    </row>
    <row r="43" spans="2:31" x14ac:dyDescent="0.25">
      <c r="B43" s="9"/>
      <c r="C43" t="s">
        <v>31</v>
      </c>
      <c r="D43" s="9" t="str">
        <f>IF($A43="","",1*'Material Costs'!$D$3)</f>
        <v/>
      </c>
      <c r="E43" s="9" t="str">
        <f>IF($A43="","",1*'Material Costs'!$D$2)</f>
        <v/>
      </c>
      <c r="F43" s="9" t="str">
        <f>IF($A43="","",IF($C43="Bubble Mailer",2,1)*'Material Costs'!$D$6)</f>
        <v/>
      </c>
      <c r="G43" s="9" t="str">
        <f>IF($A43="","",1*'Material Costs'!$D$7)</f>
        <v/>
      </c>
      <c r="H43" s="9" t="str">
        <f>IF($A43="","",IF($C43="Bubble Mailer",1,0)*'Material Costs'!$D$5)</f>
        <v/>
      </c>
      <c r="I43" s="9" t="str">
        <f>IF($A43="","",IF($C43="ESE (Ding Defend)",1,0)*'Material Costs'!$D$4)</f>
        <v/>
      </c>
      <c r="J43" s="9"/>
      <c r="K43" s="9" t="str">
        <f t="shared" si="0"/>
        <v/>
      </c>
      <c r="L43" s="9"/>
      <c r="M43" s="9"/>
      <c r="N43" s="9"/>
      <c r="O43" s="9" t="str">
        <f t="shared" si="1"/>
        <v/>
      </c>
      <c r="P43" s="9"/>
      <c r="Q43" s="9" t="str">
        <f>IF($A43="","",IF($O43="", "", ROUND($O43*Settings!$B$2+Settings!$B$3,2)))</f>
        <v/>
      </c>
      <c r="R43" s="9" t="str">
        <f>IF($A43="","",IF($L43="", "", Settings!$B$4))</f>
        <v/>
      </c>
      <c r="S43" s="9" t="str">
        <f t="shared" si="2"/>
        <v/>
      </c>
      <c r="T43" s="9" t="str">
        <f t="shared" si="3"/>
        <v/>
      </c>
      <c r="U43" s="9" t="str">
        <f>IF($A43="","",IF($K43="", "", ROUND((($K43 + Settings!$B$3 + $R43) - IF($M43="",0,$M43))/(1-Settings!$B$2),2)))</f>
        <v/>
      </c>
      <c r="V43" s="9" t="str">
        <f>IF($A43="","",$L43-($L43*Settings!$B$2)-$J43-($B43+SUM($D43:$I43)))</f>
        <v/>
      </c>
      <c r="W43" s="9" t="str">
        <f>IF($A43="","",(($B43+SUM($D43:$I43)+$J43+Settings!$B$3)/(1-Settings!$B$2))-$M43)</f>
        <v/>
      </c>
      <c r="X43" s="10" t="str">
        <f t="shared" si="4"/>
        <v/>
      </c>
      <c r="Y43" s="10" t="str">
        <f t="shared" si="5"/>
        <v/>
      </c>
      <c r="Z43" s="10" t="str">
        <f t="shared" si="6"/>
        <v/>
      </c>
      <c r="AA43" s="10" t="str">
        <f t="shared" si="7"/>
        <v/>
      </c>
      <c r="AC43" s="11"/>
      <c r="AD43" s="11"/>
      <c r="AE43" s="12" t="str">
        <f t="shared" si="8"/>
        <v/>
      </c>
    </row>
    <row r="44" spans="2:31" x14ac:dyDescent="0.25">
      <c r="B44" s="9"/>
      <c r="C44" t="s">
        <v>31</v>
      </c>
      <c r="D44" s="9" t="str">
        <f>IF($A44="","",1*'Material Costs'!$D$3)</f>
        <v/>
      </c>
      <c r="E44" s="9" t="str">
        <f>IF($A44="","",1*'Material Costs'!$D$2)</f>
        <v/>
      </c>
      <c r="F44" s="9" t="str">
        <f>IF($A44="","",IF($C44="Bubble Mailer",2,1)*'Material Costs'!$D$6)</f>
        <v/>
      </c>
      <c r="G44" s="9" t="str">
        <f>IF($A44="","",1*'Material Costs'!$D$7)</f>
        <v/>
      </c>
      <c r="H44" s="9" t="str">
        <f>IF($A44="","",IF($C44="Bubble Mailer",1,0)*'Material Costs'!$D$5)</f>
        <v/>
      </c>
      <c r="I44" s="9" t="str">
        <f>IF($A44="","",IF($C44="ESE (Ding Defend)",1,0)*'Material Costs'!$D$4)</f>
        <v/>
      </c>
      <c r="J44" s="9"/>
      <c r="K44" s="9" t="str">
        <f t="shared" si="0"/>
        <v/>
      </c>
      <c r="L44" s="9"/>
      <c r="M44" s="9"/>
      <c r="N44" s="9"/>
      <c r="O44" s="9" t="str">
        <f t="shared" si="1"/>
        <v/>
      </c>
      <c r="P44" s="9"/>
      <c r="Q44" s="9" t="str">
        <f>IF($A44="","",IF($O44="", "", ROUND($O44*Settings!$B$2+Settings!$B$3,2)))</f>
        <v/>
      </c>
      <c r="R44" s="9" t="str">
        <f>IF($A44="","",IF($L44="", "", Settings!$B$4))</f>
        <v/>
      </c>
      <c r="S44" s="9" t="str">
        <f t="shared" si="2"/>
        <v/>
      </c>
      <c r="T44" s="9" t="str">
        <f t="shared" si="3"/>
        <v/>
      </c>
      <c r="U44" s="9" t="str">
        <f>IF($A44="","",IF($K44="", "", ROUND((($K44 + Settings!$B$3 + $R44) - IF($M44="",0,$M44))/(1-Settings!$B$2),2)))</f>
        <v/>
      </c>
      <c r="V44" s="9" t="str">
        <f>IF($A44="","",$L44-($L44*Settings!$B$2)-$J44-($B44+SUM($D44:$I44)))</f>
        <v/>
      </c>
      <c r="W44" s="9" t="str">
        <f>IF($A44="","",(($B44+SUM($D44:$I44)+$J44+Settings!$B$3)/(1-Settings!$B$2))-$M44)</f>
        <v/>
      </c>
      <c r="X44" s="10" t="str">
        <f t="shared" si="4"/>
        <v/>
      </c>
      <c r="Y44" s="10" t="str">
        <f t="shared" si="5"/>
        <v/>
      </c>
      <c r="Z44" s="10" t="str">
        <f t="shared" si="6"/>
        <v/>
      </c>
      <c r="AA44" s="10" t="str">
        <f t="shared" si="7"/>
        <v/>
      </c>
      <c r="AC44" s="11"/>
      <c r="AD44" s="11"/>
      <c r="AE44" s="12" t="str">
        <f t="shared" si="8"/>
        <v/>
      </c>
    </row>
    <row r="45" spans="2:31" x14ac:dyDescent="0.25">
      <c r="B45" s="9"/>
      <c r="C45" t="s">
        <v>31</v>
      </c>
      <c r="D45" s="9" t="str">
        <f>IF($A45="","",1*'Material Costs'!$D$3)</f>
        <v/>
      </c>
      <c r="E45" s="9" t="str">
        <f>IF($A45="","",1*'Material Costs'!$D$2)</f>
        <v/>
      </c>
      <c r="F45" s="9" t="str">
        <f>IF($A45="","",IF($C45="Bubble Mailer",2,1)*'Material Costs'!$D$6)</f>
        <v/>
      </c>
      <c r="G45" s="9" t="str">
        <f>IF($A45="","",1*'Material Costs'!$D$7)</f>
        <v/>
      </c>
      <c r="H45" s="9" t="str">
        <f>IF($A45="","",IF($C45="Bubble Mailer",1,0)*'Material Costs'!$D$5)</f>
        <v/>
      </c>
      <c r="I45" s="9" t="str">
        <f>IF($A45="","",IF($C45="ESE (Ding Defend)",1,0)*'Material Costs'!$D$4)</f>
        <v/>
      </c>
      <c r="J45" s="9"/>
      <c r="K45" s="9" t="str">
        <f t="shared" si="0"/>
        <v/>
      </c>
      <c r="L45" s="9"/>
      <c r="M45" s="9"/>
      <c r="N45" s="9"/>
      <c r="O45" s="9" t="str">
        <f t="shared" si="1"/>
        <v/>
      </c>
      <c r="P45" s="9"/>
      <c r="Q45" s="9" t="str">
        <f>IF($A45="","",IF($O45="", "", ROUND($O45*Settings!$B$2+Settings!$B$3,2)))</f>
        <v/>
      </c>
      <c r="R45" s="9" t="str">
        <f>IF($A45="","",IF($L45="", "", Settings!$B$4))</f>
        <v/>
      </c>
      <c r="S45" s="9" t="str">
        <f t="shared" si="2"/>
        <v/>
      </c>
      <c r="T45" s="9" t="str">
        <f t="shared" si="3"/>
        <v/>
      </c>
      <c r="U45" s="9" t="str">
        <f>IF($A45="","",IF($K45="", "", ROUND((($K45 + Settings!$B$3 + $R45) - IF($M45="",0,$M45))/(1-Settings!$B$2),2)))</f>
        <v/>
      </c>
      <c r="V45" s="9" t="str">
        <f>IF($A45="","",$L45-($L45*Settings!$B$2)-$J45-($B45+SUM($D45:$I45)))</f>
        <v/>
      </c>
      <c r="W45" s="9" t="str">
        <f>IF($A45="","",(($B45+SUM($D45:$I45)+$J45+Settings!$B$3)/(1-Settings!$B$2))-$M45)</f>
        <v/>
      </c>
      <c r="X45" s="10" t="str">
        <f t="shared" si="4"/>
        <v/>
      </c>
      <c r="Y45" s="10" t="str">
        <f t="shared" si="5"/>
        <v/>
      </c>
      <c r="Z45" s="10" t="str">
        <f t="shared" si="6"/>
        <v/>
      </c>
      <c r="AA45" s="10" t="str">
        <f t="shared" si="7"/>
        <v/>
      </c>
      <c r="AC45" s="11"/>
      <c r="AD45" s="11"/>
      <c r="AE45" s="12" t="str">
        <f t="shared" si="8"/>
        <v/>
      </c>
    </row>
    <row r="46" spans="2:31" x14ac:dyDescent="0.25">
      <c r="B46" s="9"/>
      <c r="C46" t="s">
        <v>31</v>
      </c>
      <c r="D46" s="9" t="str">
        <f>IF($A46="","",1*'Material Costs'!$D$3)</f>
        <v/>
      </c>
      <c r="E46" s="9" t="str">
        <f>IF($A46="","",1*'Material Costs'!$D$2)</f>
        <v/>
      </c>
      <c r="F46" s="9" t="str">
        <f>IF($A46="","",IF($C46="Bubble Mailer",2,1)*'Material Costs'!$D$6)</f>
        <v/>
      </c>
      <c r="G46" s="9" t="str">
        <f>IF($A46="","",1*'Material Costs'!$D$7)</f>
        <v/>
      </c>
      <c r="H46" s="9" t="str">
        <f>IF($A46="","",IF($C46="Bubble Mailer",1,0)*'Material Costs'!$D$5)</f>
        <v/>
      </c>
      <c r="I46" s="9" t="str">
        <f>IF($A46="","",IF($C46="ESE (Ding Defend)",1,0)*'Material Costs'!$D$4)</f>
        <v/>
      </c>
      <c r="J46" s="9"/>
      <c r="K46" s="9" t="str">
        <f t="shared" si="0"/>
        <v/>
      </c>
      <c r="L46" s="9"/>
      <c r="M46" s="9"/>
      <c r="N46" s="9"/>
      <c r="O46" s="9" t="str">
        <f t="shared" si="1"/>
        <v/>
      </c>
      <c r="P46" s="9"/>
      <c r="Q46" s="9" t="str">
        <f>IF($A46="","",IF($O46="", "", ROUND($O46*Settings!$B$2+Settings!$B$3,2)))</f>
        <v/>
      </c>
      <c r="R46" s="9" t="str">
        <f>IF($A46="","",IF($L46="", "", Settings!$B$4))</f>
        <v/>
      </c>
      <c r="S46" s="9" t="str">
        <f t="shared" si="2"/>
        <v/>
      </c>
      <c r="T46" s="9" t="str">
        <f t="shared" si="3"/>
        <v/>
      </c>
      <c r="U46" s="9" t="str">
        <f>IF($A46="","",IF($K46="", "", ROUND((($K46 + Settings!$B$3 + $R46) - IF($M46="",0,$M46))/(1-Settings!$B$2),2)))</f>
        <v/>
      </c>
      <c r="V46" s="9" t="str">
        <f>IF($A46="","",$L46-($L46*Settings!$B$2)-$J46-($B46+SUM($D46:$I46)))</f>
        <v/>
      </c>
      <c r="W46" s="9" t="str">
        <f>IF($A46="","",(($B46+SUM($D46:$I46)+$J46+Settings!$B$3)/(1-Settings!$B$2))-$M46)</f>
        <v/>
      </c>
      <c r="X46" s="10" t="str">
        <f t="shared" si="4"/>
        <v/>
      </c>
      <c r="Y46" s="10" t="str">
        <f t="shared" si="5"/>
        <v/>
      </c>
      <c r="Z46" s="10" t="str">
        <f t="shared" si="6"/>
        <v/>
      </c>
      <c r="AA46" s="10" t="str">
        <f t="shared" si="7"/>
        <v/>
      </c>
      <c r="AC46" s="11"/>
      <c r="AD46" s="11"/>
      <c r="AE46" s="12" t="str">
        <f t="shared" si="8"/>
        <v/>
      </c>
    </row>
    <row r="47" spans="2:31" x14ac:dyDescent="0.25">
      <c r="B47" s="9"/>
      <c r="C47" t="s">
        <v>31</v>
      </c>
      <c r="D47" s="9" t="str">
        <f>IF($A47="","",1*'Material Costs'!$D$3)</f>
        <v/>
      </c>
      <c r="E47" s="9" t="str">
        <f>IF($A47="","",1*'Material Costs'!$D$2)</f>
        <v/>
      </c>
      <c r="F47" s="9" t="str">
        <f>IF($A47="","",IF($C47="Bubble Mailer",2,1)*'Material Costs'!$D$6)</f>
        <v/>
      </c>
      <c r="G47" s="9" t="str">
        <f>IF($A47="","",1*'Material Costs'!$D$7)</f>
        <v/>
      </c>
      <c r="H47" s="9" t="str">
        <f>IF($A47="","",IF($C47="Bubble Mailer",1,0)*'Material Costs'!$D$5)</f>
        <v/>
      </c>
      <c r="I47" s="9" t="str">
        <f>IF($A47="","",IF($C47="ESE (Ding Defend)",1,0)*'Material Costs'!$D$4)</f>
        <v/>
      </c>
      <c r="J47" s="9"/>
      <c r="K47" s="9" t="str">
        <f t="shared" si="0"/>
        <v/>
      </c>
      <c r="L47" s="9"/>
      <c r="M47" s="9"/>
      <c r="N47" s="9"/>
      <c r="O47" s="9" t="str">
        <f t="shared" si="1"/>
        <v/>
      </c>
      <c r="P47" s="9"/>
      <c r="Q47" s="9" t="str">
        <f>IF($A47="","",IF($O47="", "", ROUND($O47*Settings!$B$2+Settings!$B$3,2)))</f>
        <v/>
      </c>
      <c r="R47" s="9" t="str">
        <f>IF($A47="","",IF($L47="", "", Settings!$B$4))</f>
        <v/>
      </c>
      <c r="S47" s="9" t="str">
        <f t="shared" si="2"/>
        <v/>
      </c>
      <c r="T47" s="9" t="str">
        <f t="shared" si="3"/>
        <v/>
      </c>
      <c r="U47" s="9" t="str">
        <f>IF($A47="","",IF($K47="", "", ROUND((($K47 + Settings!$B$3 + $R47) - IF($M47="",0,$M47))/(1-Settings!$B$2),2)))</f>
        <v/>
      </c>
      <c r="V47" s="9" t="str">
        <f>IF($A47="","",$L47-($L47*Settings!$B$2)-$J47-($B47+SUM($D47:$I47)))</f>
        <v/>
      </c>
      <c r="W47" s="9" t="str">
        <f>IF($A47="","",(($B47+SUM($D47:$I47)+$J47+Settings!$B$3)/(1-Settings!$B$2))-$M47)</f>
        <v/>
      </c>
      <c r="X47" s="10" t="str">
        <f t="shared" si="4"/>
        <v/>
      </c>
      <c r="Y47" s="10" t="str">
        <f t="shared" si="5"/>
        <v/>
      </c>
      <c r="Z47" s="10" t="str">
        <f t="shared" si="6"/>
        <v/>
      </c>
      <c r="AA47" s="10" t="str">
        <f t="shared" si="7"/>
        <v/>
      </c>
      <c r="AC47" s="11"/>
      <c r="AD47" s="11"/>
      <c r="AE47" s="12" t="str">
        <f t="shared" si="8"/>
        <v/>
      </c>
    </row>
    <row r="48" spans="2:31" x14ac:dyDescent="0.25">
      <c r="B48" s="9"/>
      <c r="C48" t="s">
        <v>31</v>
      </c>
      <c r="D48" s="9" t="str">
        <f>IF($A48="","",1*'Material Costs'!$D$3)</f>
        <v/>
      </c>
      <c r="E48" s="9" t="str">
        <f>IF($A48="","",1*'Material Costs'!$D$2)</f>
        <v/>
      </c>
      <c r="F48" s="9" t="str">
        <f>IF($A48="","",IF($C48="Bubble Mailer",2,1)*'Material Costs'!$D$6)</f>
        <v/>
      </c>
      <c r="G48" s="9" t="str">
        <f>IF($A48="","",1*'Material Costs'!$D$7)</f>
        <v/>
      </c>
      <c r="H48" s="9" t="str">
        <f>IF($A48="","",IF($C48="Bubble Mailer",1,0)*'Material Costs'!$D$5)</f>
        <v/>
      </c>
      <c r="I48" s="9" t="str">
        <f>IF($A48="","",IF($C48="ESE (Ding Defend)",1,0)*'Material Costs'!$D$4)</f>
        <v/>
      </c>
      <c r="J48" s="9"/>
      <c r="K48" s="9" t="str">
        <f t="shared" si="0"/>
        <v/>
      </c>
      <c r="L48" s="9"/>
      <c r="M48" s="9"/>
      <c r="N48" s="9"/>
      <c r="O48" s="9" t="str">
        <f t="shared" si="1"/>
        <v/>
      </c>
      <c r="P48" s="9"/>
      <c r="Q48" s="9" t="str">
        <f>IF($A48="","",IF($O48="", "", ROUND($O48*Settings!$B$2+Settings!$B$3,2)))</f>
        <v/>
      </c>
      <c r="R48" s="9" t="str">
        <f>IF($A48="","",IF($L48="", "", Settings!$B$4))</f>
        <v/>
      </c>
      <c r="S48" s="9" t="str">
        <f t="shared" si="2"/>
        <v/>
      </c>
      <c r="T48" s="9" t="str">
        <f t="shared" si="3"/>
        <v/>
      </c>
      <c r="U48" s="9" t="str">
        <f>IF($A48="","",IF($K48="", "", ROUND((($K48 + Settings!$B$3 + $R48) - IF($M48="",0,$M48))/(1-Settings!$B$2),2)))</f>
        <v/>
      </c>
      <c r="V48" s="9" t="str">
        <f>IF($A48="","",$L48-($L48*Settings!$B$2)-$J48-($B48+SUM($D48:$I48)))</f>
        <v/>
      </c>
      <c r="W48" s="9" t="str">
        <f>IF($A48="","",(($B48+SUM($D48:$I48)+$J48+Settings!$B$3)/(1-Settings!$B$2))-$M48)</f>
        <v/>
      </c>
      <c r="X48" s="10" t="str">
        <f t="shared" si="4"/>
        <v/>
      </c>
      <c r="Y48" s="10" t="str">
        <f t="shared" si="5"/>
        <v/>
      </c>
      <c r="Z48" s="10" t="str">
        <f t="shared" si="6"/>
        <v/>
      </c>
      <c r="AA48" s="10" t="str">
        <f t="shared" si="7"/>
        <v/>
      </c>
      <c r="AC48" s="11"/>
      <c r="AD48" s="11"/>
      <c r="AE48" s="12" t="str">
        <f t="shared" si="8"/>
        <v/>
      </c>
    </row>
    <row r="49" spans="2:31" x14ac:dyDescent="0.25">
      <c r="B49" s="9"/>
      <c r="C49" t="s">
        <v>31</v>
      </c>
      <c r="D49" s="9" t="str">
        <f>IF($A49="","",1*'Material Costs'!$D$3)</f>
        <v/>
      </c>
      <c r="E49" s="9" t="str">
        <f>IF($A49="","",1*'Material Costs'!$D$2)</f>
        <v/>
      </c>
      <c r="F49" s="9" t="str">
        <f>IF($A49="","",IF($C49="Bubble Mailer",2,1)*'Material Costs'!$D$6)</f>
        <v/>
      </c>
      <c r="G49" s="9" t="str">
        <f>IF($A49="","",1*'Material Costs'!$D$7)</f>
        <v/>
      </c>
      <c r="H49" s="9" t="str">
        <f>IF($A49="","",IF($C49="Bubble Mailer",1,0)*'Material Costs'!$D$5)</f>
        <v/>
      </c>
      <c r="I49" s="9" t="str">
        <f>IF($A49="","",IF($C49="ESE (Ding Defend)",1,0)*'Material Costs'!$D$4)</f>
        <v/>
      </c>
      <c r="J49" s="9"/>
      <c r="K49" s="9" t="str">
        <f t="shared" si="0"/>
        <v/>
      </c>
      <c r="L49" s="9"/>
      <c r="M49" s="9"/>
      <c r="N49" s="9"/>
      <c r="O49" s="9" t="str">
        <f t="shared" si="1"/>
        <v/>
      </c>
      <c r="P49" s="9"/>
      <c r="Q49" s="9" t="str">
        <f>IF($A49="","",IF($O49="", "", ROUND($O49*Settings!$B$2+Settings!$B$3,2)))</f>
        <v/>
      </c>
      <c r="R49" s="9" t="str">
        <f>IF($A49="","",IF($L49="", "", Settings!$B$4))</f>
        <v/>
      </c>
      <c r="S49" s="9" t="str">
        <f t="shared" si="2"/>
        <v/>
      </c>
      <c r="T49" s="9" t="str">
        <f t="shared" si="3"/>
        <v/>
      </c>
      <c r="U49" s="9" t="str">
        <f>IF($A49="","",IF($K49="", "", ROUND((($K49 + Settings!$B$3 + $R49) - IF($M49="",0,$M49))/(1-Settings!$B$2),2)))</f>
        <v/>
      </c>
      <c r="V49" s="9" t="str">
        <f>IF($A49="","",$L49-($L49*Settings!$B$2)-$J49-($B49+SUM($D49:$I49)))</f>
        <v/>
      </c>
      <c r="W49" s="9" t="str">
        <f>IF($A49="","",(($B49+SUM($D49:$I49)+$J49+Settings!$B$3)/(1-Settings!$B$2))-$M49)</f>
        <v/>
      </c>
      <c r="X49" s="10" t="str">
        <f t="shared" si="4"/>
        <v/>
      </c>
      <c r="Y49" s="10" t="str">
        <f t="shared" si="5"/>
        <v/>
      </c>
      <c r="Z49" s="10" t="str">
        <f t="shared" si="6"/>
        <v/>
      </c>
      <c r="AA49" s="10" t="str">
        <f t="shared" si="7"/>
        <v/>
      </c>
      <c r="AC49" s="11"/>
      <c r="AD49" s="11"/>
      <c r="AE49" s="12" t="str">
        <f t="shared" si="8"/>
        <v/>
      </c>
    </row>
    <row r="50" spans="2:31" x14ac:dyDescent="0.25">
      <c r="B50" s="9"/>
      <c r="C50" t="s">
        <v>31</v>
      </c>
      <c r="D50" s="9" t="str">
        <f>IF($A50="","",1*'Material Costs'!$D$3)</f>
        <v/>
      </c>
      <c r="E50" s="9" t="str">
        <f>IF($A50="","",1*'Material Costs'!$D$2)</f>
        <v/>
      </c>
      <c r="F50" s="9" t="str">
        <f>IF($A50="","",IF($C50="Bubble Mailer",2,1)*'Material Costs'!$D$6)</f>
        <v/>
      </c>
      <c r="G50" s="9" t="str">
        <f>IF($A50="","",1*'Material Costs'!$D$7)</f>
        <v/>
      </c>
      <c r="H50" s="9" t="str">
        <f>IF($A50="","",IF($C50="Bubble Mailer",1,0)*'Material Costs'!$D$5)</f>
        <v/>
      </c>
      <c r="I50" s="9" t="str">
        <f>IF($A50="","",IF($C50="ESE (Ding Defend)",1,0)*'Material Costs'!$D$4)</f>
        <v/>
      </c>
      <c r="J50" s="9"/>
      <c r="K50" s="9" t="str">
        <f t="shared" si="0"/>
        <v/>
      </c>
      <c r="L50" s="9"/>
      <c r="M50" s="9"/>
      <c r="N50" s="9"/>
      <c r="O50" s="9" t="str">
        <f t="shared" si="1"/>
        <v/>
      </c>
      <c r="P50" s="9"/>
      <c r="Q50" s="9" t="str">
        <f>IF($A50="","",IF($O50="", "", ROUND($O50*Settings!$B$2+Settings!$B$3,2)))</f>
        <v/>
      </c>
      <c r="R50" s="9" t="str">
        <f>IF($A50="","",IF($L50="", "", Settings!$B$4))</f>
        <v/>
      </c>
      <c r="S50" s="9" t="str">
        <f t="shared" si="2"/>
        <v/>
      </c>
      <c r="T50" s="9" t="str">
        <f t="shared" si="3"/>
        <v/>
      </c>
      <c r="U50" s="9" t="str">
        <f>IF($A50="","",IF($K50="", "", ROUND((($K50 + Settings!$B$3 + $R50) - IF($M50="",0,$M50))/(1-Settings!$B$2),2)))</f>
        <v/>
      </c>
      <c r="V50" s="9" t="str">
        <f>IF($A50="","",$L50-($L50*Settings!$B$2)-$J50-($B50+SUM($D50:$I50)))</f>
        <v/>
      </c>
      <c r="W50" s="9" t="str">
        <f>IF($A50="","",(($B50+SUM($D50:$I50)+$J50+Settings!$B$3)/(1-Settings!$B$2))-$M50)</f>
        <v/>
      </c>
      <c r="X50" s="10" t="str">
        <f t="shared" si="4"/>
        <v/>
      </c>
      <c r="Y50" s="10" t="str">
        <f t="shared" si="5"/>
        <v/>
      </c>
      <c r="Z50" s="10" t="str">
        <f t="shared" si="6"/>
        <v/>
      </c>
      <c r="AA50" s="10" t="str">
        <f t="shared" si="7"/>
        <v/>
      </c>
      <c r="AC50" s="11"/>
      <c r="AD50" s="11"/>
      <c r="AE50" s="12" t="str">
        <f t="shared" si="8"/>
        <v/>
      </c>
    </row>
    <row r="51" spans="2:31" x14ac:dyDescent="0.25">
      <c r="B51" s="9"/>
      <c r="C51" t="s">
        <v>31</v>
      </c>
      <c r="D51" s="9" t="str">
        <f>IF($A51="","",1*'Material Costs'!$D$3)</f>
        <v/>
      </c>
      <c r="E51" s="9" t="str">
        <f>IF($A51="","",1*'Material Costs'!$D$2)</f>
        <v/>
      </c>
      <c r="F51" s="9" t="str">
        <f>IF($A51="","",IF($C51="Bubble Mailer",2,1)*'Material Costs'!$D$6)</f>
        <v/>
      </c>
      <c r="G51" s="9" t="str">
        <f>IF($A51="","",1*'Material Costs'!$D$7)</f>
        <v/>
      </c>
      <c r="H51" s="9" t="str">
        <f>IF($A51="","",IF($C51="Bubble Mailer",1,0)*'Material Costs'!$D$5)</f>
        <v/>
      </c>
      <c r="I51" s="9" t="str">
        <f>IF($A51="","",IF($C51="ESE (Ding Defend)",1,0)*'Material Costs'!$D$4)</f>
        <v/>
      </c>
      <c r="J51" s="9"/>
      <c r="K51" s="9" t="str">
        <f t="shared" si="0"/>
        <v/>
      </c>
      <c r="L51" s="9"/>
      <c r="M51" s="9"/>
      <c r="N51" s="9"/>
      <c r="O51" s="9" t="str">
        <f t="shared" si="1"/>
        <v/>
      </c>
      <c r="P51" s="9"/>
      <c r="Q51" s="9" t="str">
        <f>IF($A51="","",IF($O51="", "", ROUND($O51*Settings!$B$2+Settings!$B$3,2)))</f>
        <v/>
      </c>
      <c r="R51" s="9" t="str">
        <f>IF($A51="","",IF($L51="", "", Settings!$B$4))</f>
        <v/>
      </c>
      <c r="S51" s="9" t="str">
        <f t="shared" si="2"/>
        <v/>
      </c>
      <c r="T51" s="9" t="str">
        <f t="shared" si="3"/>
        <v/>
      </c>
      <c r="U51" s="9" t="str">
        <f>IF($A51="","",IF($K51="", "", ROUND((($K51 + Settings!$B$3 + $R51) - IF($M51="",0,$M51))/(1-Settings!$B$2),2)))</f>
        <v/>
      </c>
      <c r="V51" s="9" t="str">
        <f>IF($A51="","",$L51-($L51*Settings!$B$2)-$J51-($B51+SUM($D51:$I51)))</f>
        <v/>
      </c>
      <c r="W51" s="9" t="str">
        <f>IF($A51="","",(($B51+SUM($D51:$I51)+$J51+Settings!$B$3)/(1-Settings!$B$2))-$M51)</f>
        <v/>
      </c>
      <c r="X51" s="10" t="str">
        <f t="shared" si="4"/>
        <v/>
      </c>
      <c r="Y51" s="10" t="str">
        <f t="shared" si="5"/>
        <v/>
      </c>
      <c r="Z51" s="10" t="str">
        <f t="shared" si="6"/>
        <v/>
      </c>
      <c r="AA51" s="10" t="str">
        <f t="shared" si="7"/>
        <v/>
      </c>
      <c r="AC51" s="11"/>
      <c r="AD51" s="11"/>
      <c r="AE51" s="12" t="str">
        <f t="shared" si="8"/>
        <v/>
      </c>
    </row>
    <row r="52" spans="2:31" x14ac:dyDescent="0.25">
      <c r="B52" s="9"/>
      <c r="C52" t="s">
        <v>31</v>
      </c>
      <c r="D52" s="9" t="str">
        <f>IF($A52="","",1*'Material Costs'!$D$3)</f>
        <v/>
      </c>
      <c r="E52" s="9" t="str">
        <f>IF($A52="","",1*'Material Costs'!$D$2)</f>
        <v/>
      </c>
      <c r="F52" s="9" t="str">
        <f>IF($A52="","",IF($C52="Bubble Mailer",2,1)*'Material Costs'!$D$6)</f>
        <v/>
      </c>
      <c r="G52" s="9" t="str">
        <f>IF($A52="","",1*'Material Costs'!$D$7)</f>
        <v/>
      </c>
      <c r="H52" s="9" t="str">
        <f>IF($A52="","",IF($C52="Bubble Mailer",1,0)*'Material Costs'!$D$5)</f>
        <v/>
      </c>
      <c r="I52" s="9" t="str">
        <f>IF($A52="","",IF($C52="ESE (Ding Defend)",1,0)*'Material Costs'!$D$4)</f>
        <v/>
      </c>
      <c r="J52" s="9"/>
      <c r="K52" s="9" t="str">
        <f t="shared" si="0"/>
        <v/>
      </c>
      <c r="L52" s="9"/>
      <c r="M52" s="9"/>
      <c r="N52" s="9"/>
      <c r="O52" s="9" t="str">
        <f t="shared" si="1"/>
        <v/>
      </c>
      <c r="P52" s="9"/>
      <c r="Q52" s="9" t="str">
        <f>IF($A52="","",IF($O52="", "", ROUND($O52*Settings!$B$2+Settings!$B$3,2)))</f>
        <v/>
      </c>
      <c r="R52" s="9" t="str">
        <f>IF($A52="","",IF($L52="", "", Settings!$B$4))</f>
        <v/>
      </c>
      <c r="S52" s="9" t="str">
        <f t="shared" si="2"/>
        <v/>
      </c>
      <c r="T52" s="9" t="str">
        <f t="shared" si="3"/>
        <v/>
      </c>
      <c r="U52" s="9" t="str">
        <f>IF($A52="","",IF($K52="", "", ROUND((($K52 + Settings!$B$3 + $R52) - IF($M52="",0,$M52))/(1-Settings!$B$2),2)))</f>
        <v/>
      </c>
      <c r="V52" s="9" t="str">
        <f>IF($A52="","",$L52-($L52*Settings!$B$2)-$J52-($B52+SUM($D52:$I52)))</f>
        <v/>
      </c>
      <c r="W52" s="9" t="str">
        <f>IF($A52="","",(($B52+SUM($D52:$I52)+$J52+Settings!$B$3)/(1-Settings!$B$2))-$M52)</f>
        <v/>
      </c>
      <c r="X52" s="10" t="str">
        <f t="shared" si="4"/>
        <v/>
      </c>
      <c r="Y52" s="10" t="str">
        <f t="shared" si="5"/>
        <v/>
      </c>
      <c r="Z52" s="10" t="str">
        <f t="shared" si="6"/>
        <v/>
      </c>
      <c r="AA52" s="10" t="str">
        <f t="shared" si="7"/>
        <v/>
      </c>
      <c r="AC52" s="11"/>
      <c r="AD52" s="11"/>
      <c r="AE52" s="12" t="str">
        <f t="shared" si="8"/>
        <v/>
      </c>
    </row>
    <row r="53" spans="2:31" x14ac:dyDescent="0.25">
      <c r="B53" s="9"/>
      <c r="C53" t="s">
        <v>31</v>
      </c>
      <c r="D53" s="9" t="str">
        <f>IF($A53="","",1*'Material Costs'!$D$3)</f>
        <v/>
      </c>
      <c r="E53" s="9" t="str">
        <f>IF($A53="","",1*'Material Costs'!$D$2)</f>
        <v/>
      </c>
      <c r="F53" s="9" t="str">
        <f>IF($A53="","",IF($C53="Bubble Mailer",2,1)*'Material Costs'!$D$6)</f>
        <v/>
      </c>
      <c r="G53" s="9" t="str">
        <f>IF($A53="","",1*'Material Costs'!$D$7)</f>
        <v/>
      </c>
      <c r="H53" s="9" t="str">
        <f>IF($A53="","",IF($C53="Bubble Mailer",1,0)*'Material Costs'!$D$5)</f>
        <v/>
      </c>
      <c r="I53" s="9" t="str">
        <f>IF($A53="","",IF($C53="ESE (Ding Defend)",1,0)*'Material Costs'!$D$4)</f>
        <v/>
      </c>
      <c r="J53" s="9"/>
      <c r="K53" s="9" t="str">
        <f t="shared" si="0"/>
        <v/>
      </c>
      <c r="L53" s="9"/>
      <c r="M53" s="9"/>
      <c r="N53" s="9"/>
      <c r="O53" s="9" t="str">
        <f t="shared" si="1"/>
        <v/>
      </c>
      <c r="P53" s="9"/>
      <c r="Q53" s="9" t="str">
        <f>IF($A53="","",IF($O53="", "", ROUND($O53*Settings!$B$2+Settings!$B$3,2)))</f>
        <v/>
      </c>
      <c r="R53" s="9" t="str">
        <f>IF($A53="","",IF($L53="", "", Settings!$B$4))</f>
        <v/>
      </c>
      <c r="S53" s="9" t="str">
        <f t="shared" si="2"/>
        <v/>
      </c>
      <c r="T53" s="9" t="str">
        <f t="shared" si="3"/>
        <v/>
      </c>
      <c r="U53" s="9" t="str">
        <f>IF($A53="","",IF($K53="", "", ROUND((($K53 + Settings!$B$3 + $R53) - IF($M53="",0,$M53))/(1-Settings!$B$2),2)))</f>
        <v/>
      </c>
      <c r="V53" s="9" t="str">
        <f>IF($A53="","",$L53-($L53*Settings!$B$2)-$J53-($B53+SUM($D53:$I53)))</f>
        <v/>
      </c>
      <c r="W53" s="9" t="str">
        <f>IF($A53="","",(($B53+SUM($D53:$I53)+$J53+Settings!$B$3)/(1-Settings!$B$2))-$M53)</f>
        <v/>
      </c>
      <c r="X53" s="10" t="str">
        <f t="shared" si="4"/>
        <v/>
      </c>
      <c r="Y53" s="10" t="str">
        <f t="shared" si="5"/>
        <v/>
      </c>
      <c r="Z53" s="10" t="str">
        <f t="shared" si="6"/>
        <v/>
      </c>
      <c r="AA53" s="10" t="str">
        <f t="shared" si="7"/>
        <v/>
      </c>
      <c r="AC53" s="11"/>
      <c r="AD53" s="11"/>
      <c r="AE53" s="12" t="str">
        <f t="shared" si="8"/>
        <v/>
      </c>
    </row>
    <row r="54" spans="2:31" x14ac:dyDescent="0.25">
      <c r="B54" s="9"/>
      <c r="C54" t="s">
        <v>31</v>
      </c>
      <c r="D54" s="9" t="str">
        <f>IF($A54="","",1*'Material Costs'!$D$3)</f>
        <v/>
      </c>
      <c r="E54" s="9" t="str">
        <f>IF($A54="","",1*'Material Costs'!$D$2)</f>
        <v/>
      </c>
      <c r="F54" s="9" t="str">
        <f>IF($A54="","",IF($C54="Bubble Mailer",2,1)*'Material Costs'!$D$6)</f>
        <v/>
      </c>
      <c r="G54" s="9" t="str">
        <f>IF($A54="","",1*'Material Costs'!$D$7)</f>
        <v/>
      </c>
      <c r="H54" s="9" t="str">
        <f>IF($A54="","",IF($C54="Bubble Mailer",1,0)*'Material Costs'!$D$5)</f>
        <v/>
      </c>
      <c r="I54" s="9" t="str">
        <f>IF($A54="","",IF($C54="ESE (Ding Defend)",1,0)*'Material Costs'!$D$4)</f>
        <v/>
      </c>
      <c r="J54" s="9"/>
      <c r="K54" s="9" t="str">
        <f t="shared" si="0"/>
        <v/>
      </c>
      <c r="L54" s="9"/>
      <c r="M54" s="9"/>
      <c r="N54" s="9"/>
      <c r="O54" s="9" t="str">
        <f t="shared" si="1"/>
        <v/>
      </c>
      <c r="P54" s="9"/>
      <c r="Q54" s="9" t="str">
        <f>IF($A54="","",IF($O54="", "", ROUND($O54*Settings!$B$2+Settings!$B$3,2)))</f>
        <v/>
      </c>
      <c r="R54" s="9" t="str">
        <f>IF($A54="","",IF($L54="", "", Settings!$B$4))</f>
        <v/>
      </c>
      <c r="S54" s="9" t="str">
        <f t="shared" si="2"/>
        <v/>
      </c>
      <c r="T54" s="9" t="str">
        <f t="shared" si="3"/>
        <v/>
      </c>
      <c r="U54" s="9" t="str">
        <f>IF($A54="","",IF($K54="", "", ROUND((($K54 + Settings!$B$3 + $R54) - IF($M54="",0,$M54))/(1-Settings!$B$2),2)))</f>
        <v/>
      </c>
      <c r="V54" s="9" t="str">
        <f>IF($A54="","",$L54-($L54*Settings!$B$2)-$J54-($B54+SUM($D54:$I54)))</f>
        <v/>
      </c>
      <c r="W54" s="9" t="str">
        <f>IF($A54="","",(($B54+SUM($D54:$I54)+$J54+Settings!$B$3)/(1-Settings!$B$2))-$M54)</f>
        <v/>
      </c>
      <c r="X54" s="10" t="str">
        <f t="shared" si="4"/>
        <v/>
      </c>
      <c r="Y54" s="10" t="str">
        <f t="shared" si="5"/>
        <v/>
      </c>
      <c r="Z54" s="10" t="str">
        <f t="shared" si="6"/>
        <v/>
      </c>
      <c r="AA54" s="10" t="str">
        <f t="shared" si="7"/>
        <v/>
      </c>
      <c r="AC54" s="11"/>
      <c r="AD54" s="11"/>
      <c r="AE54" s="12" t="str">
        <f t="shared" si="8"/>
        <v/>
      </c>
    </row>
    <row r="55" spans="2:31" x14ac:dyDescent="0.25">
      <c r="B55" s="9"/>
      <c r="C55" t="s">
        <v>31</v>
      </c>
      <c r="D55" s="9" t="str">
        <f>IF($A55="","",1*'Material Costs'!$D$3)</f>
        <v/>
      </c>
      <c r="E55" s="9" t="str">
        <f>IF($A55="","",1*'Material Costs'!$D$2)</f>
        <v/>
      </c>
      <c r="F55" s="9" t="str">
        <f>IF($A55="","",IF($C55="Bubble Mailer",2,1)*'Material Costs'!$D$6)</f>
        <v/>
      </c>
      <c r="G55" s="9" t="str">
        <f>IF($A55="","",1*'Material Costs'!$D$7)</f>
        <v/>
      </c>
      <c r="H55" s="9" t="str">
        <f>IF($A55="","",IF($C55="Bubble Mailer",1,0)*'Material Costs'!$D$5)</f>
        <v/>
      </c>
      <c r="I55" s="9" t="str">
        <f>IF($A55="","",IF($C55="ESE (Ding Defend)",1,0)*'Material Costs'!$D$4)</f>
        <v/>
      </c>
      <c r="J55" s="9"/>
      <c r="K55" s="9" t="str">
        <f t="shared" si="0"/>
        <v/>
      </c>
      <c r="L55" s="9"/>
      <c r="M55" s="9"/>
      <c r="N55" s="9"/>
      <c r="O55" s="9" t="str">
        <f t="shared" si="1"/>
        <v/>
      </c>
      <c r="P55" s="9"/>
      <c r="Q55" s="9" t="str">
        <f>IF($A55="","",IF($O55="", "", ROUND($O55*Settings!$B$2+Settings!$B$3,2)))</f>
        <v/>
      </c>
      <c r="R55" s="9" t="str">
        <f>IF($A55="","",IF($L55="", "", Settings!$B$4))</f>
        <v/>
      </c>
      <c r="S55" s="9" t="str">
        <f t="shared" si="2"/>
        <v/>
      </c>
      <c r="T55" s="9" t="str">
        <f t="shared" si="3"/>
        <v/>
      </c>
      <c r="U55" s="9" t="str">
        <f>IF($A55="","",IF($K55="", "", ROUND((($K55 + Settings!$B$3 + $R55) - IF($M55="",0,$M55))/(1-Settings!$B$2),2)))</f>
        <v/>
      </c>
      <c r="V55" s="9" t="str">
        <f>IF($A55="","",$L55-($L55*Settings!$B$2)-$J55-($B55+SUM($D55:$I55)))</f>
        <v/>
      </c>
      <c r="W55" s="9" t="str">
        <f>IF($A55="","",(($B55+SUM($D55:$I55)+$J55+Settings!$B$3)/(1-Settings!$B$2))-$M55)</f>
        <v/>
      </c>
      <c r="X55" s="10" t="str">
        <f t="shared" si="4"/>
        <v/>
      </c>
      <c r="Y55" s="10" t="str">
        <f t="shared" si="5"/>
        <v/>
      </c>
      <c r="Z55" s="10" t="str">
        <f t="shared" si="6"/>
        <v/>
      </c>
      <c r="AA55" s="10" t="str">
        <f t="shared" si="7"/>
        <v/>
      </c>
      <c r="AC55" s="11"/>
      <c r="AD55" s="11"/>
      <c r="AE55" s="12" t="str">
        <f t="shared" si="8"/>
        <v/>
      </c>
    </row>
    <row r="56" spans="2:31" x14ac:dyDescent="0.25">
      <c r="B56" s="9"/>
      <c r="C56" t="s">
        <v>31</v>
      </c>
      <c r="D56" s="9" t="str">
        <f>IF($A56="","",1*'Material Costs'!$D$3)</f>
        <v/>
      </c>
      <c r="E56" s="9" t="str">
        <f>IF($A56="","",1*'Material Costs'!$D$2)</f>
        <v/>
      </c>
      <c r="F56" s="9" t="str">
        <f>IF($A56="","",IF($C56="Bubble Mailer",2,1)*'Material Costs'!$D$6)</f>
        <v/>
      </c>
      <c r="G56" s="9" t="str">
        <f>IF($A56="","",1*'Material Costs'!$D$7)</f>
        <v/>
      </c>
      <c r="H56" s="9" t="str">
        <f>IF($A56="","",IF($C56="Bubble Mailer",1,0)*'Material Costs'!$D$5)</f>
        <v/>
      </c>
      <c r="I56" s="9" t="str">
        <f>IF($A56="","",IF($C56="ESE (Ding Defend)",1,0)*'Material Costs'!$D$4)</f>
        <v/>
      </c>
      <c r="J56" s="9"/>
      <c r="K56" s="9" t="str">
        <f t="shared" si="0"/>
        <v/>
      </c>
      <c r="L56" s="9"/>
      <c r="M56" s="9"/>
      <c r="N56" s="9"/>
      <c r="O56" s="9" t="str">
        <f t="shared" si="1"/>
        <v/>
      </c>
      <c r="P56" s="9"/>
      <c r="Q56" s="9" t="str">
        <f>IF($A56="","",IF($O56="", "", ROUND($O56*Settings!$B$2+Settings!$B$3,2)))</f>
        <v/>
      </c>
      <c r="R56" s="9" t="str">
        <f>IF($A56="","",IF($L56="", "", Settings!$B$4))</f>
        <v/>
      </c>
      <c r="S56" s="9" t="str">
        <f t="shared" si="2"/>
        <v/>
      </c>
      <c r="T56" s="9" t="str">
        <f t="shared" si="3"/>
        <v/>
      </c>
      <c r="U56" s="9" t="str">
        <f>IF($A56="","",IF($K56="", "", ROUND((($K56 + Settings!$B$3 + $R56) - IF($M56="",0,$M56))/(1-Settings!$B$2),2)))</f>
        <v/>
      </c>
      <c r="V56" s="9" t="str">
        <f>IF($A56="","",$L56-($L56*Settings!$B$2)-$J56-($B56+SUM($D56:$I56)))</f>
        <v/>
      </c>
      <c r="W56" s="9" t="str">
        <f>IF($A56="","",(($B56+SUM($D56:$I56)+$J56+Settings!$B$3)/(1-Settings!$B$2))-$M56)</f>
        <v/>
      </c>
      <c r="X56" s="10" t="str">
        <f t="shared" si="4"/>
        <v/>
      </c>
      <c r="Y56" s="10" t="str">
        <f t="shared" si="5"/>
        <v/>
      </c>
      <c r="Z56" s="10" t="str">
        <f t="shared" si="6"/>
        <v/>
      </c>
      <c r="AA56" s="10" t="str">
        <f t="shared" si="7"/>
        <v/>
      </c>
      <c r="AC56" s="11"/>
      <c r="AD56" s="11"/>
      <c r="AE56" s="12" t="str">
        <f t="shared" si="8"/>
        <v/>
      </c>
    </row>
    <row r="57" spans="2:31" x14ac:dyDescent="0.25">
      <c r="B57" s="9"/>
      <c r="C57" t="s">
        <v>31</v>
      </c>
      <c r="D57" s="9" t="str">
        <f>IF($A57="","",1*'Material Costs'!$D$3)</f>
        <v/>
      </c>
      <c r="E57" s="9" t="str">
        <f>IF($A57="","",1*'Material Costs'!$D$2)</f>
        <v/>
      </c>
      <c r="F57" s="9" t="str">
        <f>IF($A57="","",IF($C57="Bubble Mailer",2,1)*'Material Costs'!$D$6)</f>
        <v/>
      </c>
      <c r="G57" s="9" t="str">
        <f>IF($A57="","",1*'Material Costs'!$D$7)</f>
        <v/>
      </c>
      <c r="H57" s="9" t="str">
        <f>IF($A57="","",IF($C57="Bubble Mailer",1,0)*'Material Costs'!$D$5)</f>
        <v/>
      </c>
      <c r="I57" s="9" t="str">
        <f>IF($A57="","",IF($C57="ESE (Ding Defend)",1,0)*'Material Costs'!$D$4)</f>
        <v/>
      </c>
      <c r="J57" s="9"/>
      <c r="K57" s="9" t="str">
        <f t="shared" si="0"/>
        <v/>
      </c>
      <c r="L57" s="9"/>
      <c r="M57" s="9"/>
      <c r="N57" s="9"/>
      <c r="O57" s="9" t="str">
        <f t="shared" si="1"/>
        <v/>
      </c>
      <c r="P57" s="9"/>
      <c r="Q57" s="9" t="str">
        <f>IF($A57="","",IF($O57="", "", ROUND($O57*Settings!$B$2+Settings!$B$3,2)))</f>
        <v/>
      </c>
      <c r="R57" s="9" t="str">
        <f>IF($A57="","",IF($L57="", "", Settings!$B$4))</f>
        <v/>
      </c>
      <c r="S57" s="9" t="str">
        <f t="shared" si="2"/>
        <v/>
      </c>
      <c r="T57" s="9" t="str">
        <f t="shared" si="3"/>
        <v/>
      </c>
      <c r="U57" s="9" t="str">
        <f>IF($A57="","",IF($K57="", "", ROUND((($K57 + Settings!$B$3 + $R57) - IF($M57="",0,$M57))/(1-Settings!$B$2),2)))</f>
        <v/>
      </c>
      <c r="V57" s="9" t="str">
        <f>IF($A57="","",$L57-($L57*Settings!$B$2)-$J57-($B57+SUM($D57:$I57)))</f>
        <v/>
      </c>
      <c r="W57" s="9" t="str">
        <f>IF($A57="","",(($B57+SUM($D57:$I57)+$J57+Settings!$B$3)/(1-Settings!$B$2))-$M57)</f>
        <v/>
      </c>
      <c r="X57" s="10" t="str">
        <f t="shared" si="4"/>
        <v/>
      </c>
      <c r="Y57" s="10" t="str">
        <f t="shared" si="5"/>
        <v/>
      </c>
      <c r="Z57" s="10" t="str">
        <f t="shared" si="6"/>
        <v/>
      </c>
      <c r="AA57" s="10" t="str">
        <f t="shared" si="7"/>
        <v/>
      </c>
      <c r="AC57" s="11"/>
      <c r="AD57" s="11"/>
      <c r="AE57" s="12" t="str">
        <f t="shared" si="8"/>
        <v/>
      </c>
    </row>
    <row r="58" spans="2:31" x14ac:dyDescent="0.25">
      <c r="B58" s="9"/>
      <c r="C58" t="s">
        <v>31</v>
      </c>
      <c r="D58" s="9" t="str">
        <f>IF($A58="","",1*'Material Costs'!$D$3)</f>
        <v/>
      </c>
      <c r="E58" s="9" t="str">
        <f>IF($A58="","",1*'Material Costs'!$D$2)</f>
        <v/>
      </c>
      <c r="F58" s="9" t="str">
        <f>IF($A58="","",IF($C58="Bubble Mailer",2,1)*'Material Costs'!$D$6)</f>
        <v/>
      </c>
      <c r="G58" s="9" t="str">
        <f>IF($A58="","",1*'Material Costs'!$D$7)</f>
        <v/>
      </c>
      <c r="H58" s="9" t="str">
        <f>IF($A58="","",IF($C58="Bubble Mailer",1,0)*'Material Costs'!$D$5)</f>
        <v/>
      </c>
      <c r="I58" s="9" t="str">
        <f>IF($A58="","",IF($C58="ESE (Ding Defend)",1,0)*'Material Costs'!$D$4)</f>
        <v/>
      </c>
      <c r="J58" s="9"/>
      <c r="K58" s="9" t="str">
        <f t="shared" si="0"/>
        <v/>
      </c>
      <c r="L58" s="9"/>
      <c r="M58" s="9"/>
      <c r="N58" s="9"/>
      <c r="O58" s="9" t="str">
        <f t="shared" si="1"/>
        <v/>
      </c>
      <c r="P58" s="9"/>
      <c r="Q58" s="9" t="str">
        <f>IF($A58="","",IF($O58="", "", ROUND($O58*Settings!$B$2+Settings!$B$3,2)))</f>
        <v/>
      </c>
      <c r="R58" s="9" t="str">
        <f>IF($A58="","",IF($L58="", "", Settings!$B$4))</f>
        <v/>
      </c>
      <c r="S58" s="9" t="str">
        <f t="shared" si="2"/>
        <v/>
      </c>
      <c r="T58" s="9" t="str">
        <f t="shared" si="3"/>
        <v/>
      </c>
      <c r="U58" s="9" t="str">
        <f>IF($A58="","",IF($K58="", "", ROUND((($K58 + Settings!$B$3 + $R58) - IF($M58="",0,$M58))/(1-Settings!$B$2),2)))</f>
        <v/>
      </c>
      <c r="V58" s="9" t="str">
        <f>IF($A58="","",$L58-($L58*Settings!$B$2)-$J58-($B58+SUM($D58:$I58)))</f>
        <v/>
      </c>
      <c r="W58" s="9" t="str">
        <f>IF($A58="","",(($B58+SUM($D58:$I58)+$J58+Settings!$B$3)/(1-Settings!$B$2))-$M58)</f>
        <v/>
      </c>
      <c r="X58" s="10" t="str">
        <f t="shared" si="4"/>
        <v/>
      </c>
      <c r="Y58" s="10" t="str">
        <f t="shared" si="5"/>
        <v/>
      </c>
      <c r="Z58" s="10" t="str">
        <f t="shared" si="6"/>
        <v/>
      </c>
      <c r="AA58" s="10" t="str">
        <f t="shared" si="7"/>
        <v/>
      </c>
      <c r="AC58" s="11"/>
      <c r="AD58" s="11"/>
      <c r="AE58" s="12" t="str">
        <f t="shared" si="8"/>
        <v/>
      </c>
    </row>
    <row r="59" spans="2:31" x14ac:dyDescent="0.25">
      <c r="B59" s="9"/>
      <c r="C59" t="s">
        <v>31</v>
      </c>
      <c r="D59" s="9" t="str">
        <f>IF($A59="","",1*'Material Costs'!$D$3)</f>
        <v/>
      </c>
      <c r="E59" s="9" t="str">
        <f>IF($A59="","",1*'Material Costs'!$D$2)</f>
        <v/>
      </c>
      <c r="F59" s="9" t="str">
        <f>IF($A59="","",IF($C59="Bubble Mailer",2,1)*'Material Costs'!$D$6)</f>
        <v/>
      </c>
      <c r="G59" s="9" t="str">
        <f>IF($A59="","",1*'Material Costs'!$D$7)</f>
        <v/>
      </c>
      <c r="H59" s="9" t="str">
        <f>IF($A59="","",IF($C59="Bubble Mailer",1,0)*'Material Costs'!$D$5)</f>
        <v/>
      </c>
      <c r="I59" s="9" t="str">
        <f>IF($A59="","",IF($C59="ESE (Ding Defend)",1,0)*'Material Costs'!$D$4)</f>
        <v/>
      </c>
      <c r="J59" s="9"/>
      <c r="K59" s="9" t="str">
        <f t="shared" si="0"/>
        <v/>
      </c>
      <c r="L59" s="9"/>
      <c r="M59" s="9"/>
      <c r="N59" s="9"/>
      <c r="O59" s="9" t="str">
        <f t="shared" si="1"/>
        <v/>
      </c>
      <c r="P59" s="9"/>
      <c r="Q59" s="9" t="str">
        <f>IF($A59="","",IF($O59="", "", ROUND($O59*Settings!$B$2+Settings!$B$3,2)))</f>
        <v/>
      </c>
      <c r="R59" s="9" t="str">
        <f>IF($A59="","",IF($L59="", "", Settings!$B$4))</f>
        <v/>
      </c>
      <c r="S59" s="9" t="str">
        <f t="shared" si="2"/>
        <v/>
      </c>
      <c r="T59" s="9" t="str">
        <f t="shared" si="3"/>
        <v/>
      </c>
      <c r="U59" s="9" t="str">
        <f>IF($A59="","",IF($K59="", "", ROUND((($K59 + Settings!$B$3 + $R59) - IF($M59="",0,$M59))/(1-Settings!$B$2),2)))</f>
        <v/>
      </c>
      <c r="V59" s="9" t="str">
        <f>IF($A59="","",$L59-($L59*Settings!$B$2)-$J59-($B59+SUM($D59:$I59)))</f>
        <v/>
      </c>
      <c r="W59" s="9" t="str">
        <f>IF($A59="","",(($B59+SUM($D59:$I59)+$J59+Settings!$B$3)/(1-Settings!$B$2))-$M59)</f>
        <v/>
      </c>
      <c r="X59" s="10" t="str">
        <f t="shared" si="4"/>
        <v/>
      </c>
      <c r="Y59" s="10" t="str">
        <f t="shared" si="5"/>
        <v/>
      </c>
      <c r="Z59" s="10" t="str">
        <f t="shared" si="6"/>
        <v/>
      </c>
      <c r="AA59" s="10" t="str">
        <f t="shared" si="7"/>
        <v/>
      </c>
      <c r="AC59" s="11"/>
      <c r="AD59" s="11"/>
      <c r="AE59" s="12" t="str">
        <f t="shared" si="8"/>
        <v/>
      </c>
    </row>
    <row r="60" spans="2:31" x14ac:dyDescent="0.25">
      <c r="B60" s="9"/>
      <c r="C60" t="s">
        <v>31</v>
      </c>
      <c r="D60" s="9" t="str">
        <f>IF($A60="","",1*'Material Costs'!$D$3)</f>
        <v/>
      </c>
      <c r="E60" s="9" t="str">
        <f>IF($A60="","",1*'Material Costs'!$D$2)</f>
        <v/>
      </c>
      <c r="F60" s="9" t="str">
        <f>IF($A60="","",IF($C60="Bubble Mailer",2,1)*'Material Costs'!$D$6)</f>
        <v/>
      </c>
      <c r="G60" s="9" t="str">
        <f>IF($A60="","",1*'Material Costs'!$D$7)</f>
        <v/>
      </c>
      <c r="H60" s="9" t="str">
        <f>IF($A60="","",IF($C60="Bubble Mailer",1,0)*'Material Costs'!$D$5)</f>
        <v/>
      </c>
      <c r="I60" s="9" t="str">
        <f>IF($A60="","",IF($C60="ESE (Ding Defend)",1,0)*'Material Costs'!$D$4)</f>
        <v/>
      </c>
      <c r="J60" s="9"/>
      <c r="K60" s="9" t="str">
        <f t="shared" si="0"/>
        <v/>
      </c>
      <c r="L60" s="9"/>
      <c r="M60" s="9"/>
      <c r="N60" s="9"/>
      <c r="O60" s="9" t="str">
        <f t="shared" si="1"/>
        <v/>
      </c>
      <c r="P60" s="9"/>
      <c r="Q60" s="9" t="str">
        <f>IF($A60="","",IF($O60="", "", ROUND($O60*Settings!$B$2+Settings!$B$3,2)))</f>
        <v/>
      </c>
      <c r="R60" s="9" t="str">
        <f>IF($A60="","",IF($L60="", "", Settings!$B$4))</f>
        <v/>
      </c>
      <c r="S60" s="9" t="str">
        <f t="shared" si="2"/>
        <v/>
      </c>
      <c r="T60" s="9" t="str">
        <f t="shared" si="3"/>
        <v/>
      </c>
      <c r="U60" s="9" t="str">
        <f>IF($A60="","",IF($K60="", "", ROUND((($K60 + Settings!$B$3 + $R60) - IF($M60="",0,$M60))/(1-Settings!$B$2),2)))</f>
        <v/>
      </c>
      <c r="V60" s="9" t="str">
        <f>IF($A60="","",$L60-($L60*Settings!$B$2)-$J60-($B60+SUM($D60:$I60)))</f>
        <v/>
      </c>
      <c r="W60" s="9" t="str">
        <f>IF($A60="","",(($B60+SUM($D60:$I60)+$J60+Settings!$B$3)/(1-Settings!$B$2))-$M60)</f>
        <v/>
      </c>
      <c r="X60" s="10" t="str">
        <f t="shared" si="4"/>
        <v/>
      </c>
      <c r="Y60" s="10" t="str">
        <f t="shared" si="5"/>
        <v/>
      </c>
      <c r="Z60" s="10" t="str">
        <f t="shared" si="6"/>
        <v/>
      </c>
      <c r="AA60" s="10" t="str">
        <f t="shared" si="7"/>
        <v/>
      </c>
      <c r="AC60" s="11"/>
      <c r="AD60" s="11"/>
      <c r="AE60" s="12" t="str">
        <f t="shared" si="8"/>
        <v/>
      </c>
    </row>
    <row r="61" spans="2:31" x14ac:dyDescent="0.25">
      <c r="B61" s="9"/>
      <c r="C61" t="s">
        <v>31</v>
      </c>
      <c r="D61" s="9" t="str">
        <f>IF($A61="","",1*'Material Costs'!$D$3)</f>
        <v/>
      </c>
      <c r="E61" s="9" t="str">
        <f>IF($A61="","",1*'Material Costs'!$D$2)</f>
        <v/>
      </c>
      <c r="F61" s="9" t="str">
        <f>IF($A61="","",IF($C61="Bubble Mailer",2,1)*'Material Costs'!$D$6)</f>
        <v/>
      </c>
      <c r="G61" s="9" t="str">
        <f>IF($A61="","",1*'Material Costs'!$D$7)</f>
        <v/>
      </c>
      <c r="H61" s="9" t="str">
        <f>IF($A61="","",IF($C61="Bubble Mailer",1,0)*'Material Costs'!$D$5)</f>
        <v/>
      </c>
      <c r="I61" s="9" t="str">
        <f>IF($A61="","",IF($C61="ESE (Ding Defend)",1,0)*'Material Costs'!$D$4)</f>
        <v/>
      </c>
      <c r="J61" s="9"/>
      <c r="K61" s="9" t="str">
        <f t="shared" si="0"/>
        <v/>
      </c>
      <c r="L61" s="9"/>
      <c r="M61" s="9"/>
      <c r="N61" s="9"/>
      <c r="O61" s="9" t="str">
        <f t="shared" si="1"/>
        <v/>
      </c>
      <c r="P61" s="9"/>
      <c r="Q61" s="9" t="str">
        <f>IF($A61="","",IF($O61="", "", ROUND($O61*Settings!$B$2+Settings!$B$3,2)))</f>
        <v/>
      </c>
      <c r="R61" s="9" t="str">
        <f>IF($A61="","",IF($L61="", "", Settings!$B$4))</f>
        <v/>
      </c>
      <c r="S61" s="9" t="str">
        <f t="shared" si="2"/>
        <v/>
      </c>
      <c r="T61" s="9" t="str">
        <f t="shared" si="3"/>
        <v/>
      </c>
      <c r="U61" s="9" t="str">
        <f>IF($A61="","",IF($K61="", "", ROUND((($K61 + Settings!$B$3 + $R61) - IF($M61="",0,$M61))/(1-Settings!$B$2),2)))</f>
        <v/>
      </c>
      <c r="V61" s="9" t="str">
        <f>IF($A61="","",$L61-($L61*Settings!$B$2)-$J61-($B61+SUM($D61:$I61)))</f>
        <v/>
      </c>
      <c r="W61" s="9" t="str">
        <f>IF($A61="","",(($B61+SUM($D61:$I61)+$J61+Settings!$B$3)/(1-Settings!$B$2))-$M61)</f>
        <v/>
      </c>
      <c r="X61" s="10" t="str">
        <f t="shared" si="4"/>
        <v/>
      </c>
      <c r="Y61" s="10" t="str">
        <f t="shared" si="5"/>
        <v/>
      </c>
      <c r="Z61" s="10" t="str">
        <f t="shared" si="6"/>
        <v/>
      </c>
      <c r="AA61" s="10" t="str">
        <f t="shared" si="7"/>
        <v/>
      </c>
      <c r="AC61" s="11"/>
      <c r="AD61" s="11"/>
      <c r="AE61" s="12" t="str">
        <f t="shared" si="8"/>
        <v/>
      </c>
    </row>
    <row r="62" spans="2:31" x14ac:dyDescent="0.25">
      <c r="B62" s="9"/>
      <c r="C62" t="s">
        <v>31</v>
      </c>
      <c r="D62" s="9" t="str">
        <f>IF($A62="","",1*'Material Costs'!$D$3)</f>
        <v/>
      </c>
      <c r="E62" s="9" t="str">
        <f>IF($A62="","",1*'Material Costs'!$D$2)</f>
        <v/>
      </c>
      <c r="F62" s="9" t="str">
        <f>IF($A62="","",IF($C62="Bubble Mailer",2,1)*'Material Costs'!$D$6)</f>
        <v/>
      </c>
      <c r="G62" s="9" t="str">
        <f>IF($A62="","",1*'Material Costs'!$D$7)</f>
        <v/>
      </c>
      <c r="H62" s="9" t="str">
        <f>IF($A62="","",IF($C62="Bubble Mailer",1,0)*'Material Costs'!$D$5)</f>
        <v/>
      </c>
      <c r="I62" s="9" t="str">
        <f>IF($A62="","",IF($C62="ESE (Ding Defend)",1,0)*'Material Costs'!$D$4)</f>
        <v/>
      </c>
      <c r="J62" s="9"/>
      <c r="K62" s="9" t="str">
        <f t="shared" si="0"/>
        <v/>
      </c>
      <c r="L62" s="9"/>
      <c r="M62" s="9"/>
      <c r="N62" s="9"/>
      <c r="O62" s="9" t="str">
        <f t="shared" si="1"/>
        <v/>
      </c>
      <c r="P62" s="9"/>
      <c r="Q62" s="9" t="str">
        <f>IF($A62="","",IF($O62="", "", ROUND($O62*Settings!$B$2+Settings!$B$3,2)))</f>
        <v/>
      </c>
      <c r="R62" s="9" t="str">
        <f>IF($A62="","",IF($L62="", "", Settings!$B$4))</f>
        <v/>
      </c>
      <c r="S62" s="9" t="str">
        <f t="shared" si="2"/>
        <v/>
      </c>
      <c r="T62" s="9" t="str">
        <f t="shared" si="3"/>
        <v/>
      </c>
      <c r="U62" s="9" t="str">
        <f>IF($A62="","",IF($K62="", "", ROUND((($K62 + Settings!$B$3 + $R62) - IF($M62="",0,$M62))/(1-Settings!$B$2),2)))</f>
        <v/>
      </c>
      <c r="V62" s="9" t="str">
        <f>IF($A62="","",$L62-($L62*Settings!$B$2)-$J62-($B62+SUM($D62:$I62)))</f>
        <v/>
      </c>
      <c r="W62" s="9" t="str">
        <f>IF($A62="","",(($B62+SUM($D62:$I62)+$J62+Settings!$B$3)/(1-Settings!$B$2))-$M62)</f>
        <v/>
      </c>
      <c r="X62" s="10" t="str">
        <f t="shared" si="4"/>
        <v/>
      </c>
      <c r="Y62" s="10" t="str">
        <f t="shared" si="5"/>
        <v/>
      </c>
      <c r="Z62" s="10" t="str">
        <f t="shared" si="6"/>
        <v/>
      </c>
      <c r="AA62" s="10" t="str">
        <f t="shared" si="7"/>
        <v/>
      </c>
      <c r="AC62" s="11"/>
      <c r="AD62" s="11"/>
      <c r="AE62" s="12" t="str">
        <f t="shared" si="8"/>
        <v/>
      </c>
    </row>
    <row r="63" spans="2:31" x14ac:dyDescent="0.25">
      <c r="B63" s="9"/>
      <c r="C63" t="s">
        <v>31</v>
      </c>
      <c r="D63" s="9" t="str">
        <f>IF($A63="","",1*'Material Costs'!$D$3)</f>
        <v/>
      </c>
      <c r="E63" s="9" t="str">
        <f>IF($A63="","",1*'Material Costs'!$D$2)</f>
        <v/>
      </c>
      <c r="F63" s="9" t="str">
        <f>IF($A63="","",IF($C63="Bubble Mailer",2,1)*'Material Costs'!$D$6)</f>
        <v/>
      </c>
      <c r="G63" s="9" t="str">
        <f>IF($A63="","",1*'Material Costs'!$D$7)</f>
        <v/>
      </c>
      <c r="H63" s="9" t="str">
        <f>IF($A63="","",IF($C63="Bubble Mailer",1,0)*'Material Costs'!$D$5)</f>
        <v/>
      </c>
      <c r="I63" s="9" t="str">
        <f>IF($A63="","",IF($C63="ESE (Ding Defend)",1,0)*'Material Costs'!$D$4)</f>
        <v/>
      </c>
      <c r="J63" s="9"/>
      <c r="K63" s="9" t="str">
        <f t="shared" si="0"/>
        <v/>
      </c>
      <c r="L63" s="9"/>
      <c r="M63" s="9"/>
      <c r="N63" s="9"/>
      <c r="O63" s="9" t="str">
        <f t="shared" si="1"/>
        <v/>
      </c>
      <c r="P63" s="9"/>
      <c r="Q63" s="9" t="str">
        <f>IF($A63="","",IF($O63="", "", ROUND($O63*Settings!$B$2+Settings!$B$3,2)))</f>
        <v/>
      </c>
      <c r="R63" s="9" t="str">
        <f>IF($A63="","",IF($L63="", "", Settings!$B$4))</f>
        <v/>
      </c>
      <c r="S63" s="9" t="str">
        <f t="shared" si="2"/>
        <v/>
      </c>
      <c r="T63" s="9" t="str">
        <f t="shared" si="3"/>
        <v/>
      </c>
      <c r="U63" s="9" t="str">
        <f>IF($A63="","",IF($K63="", "", ROUND((($K63 + Settings!$B$3 + $R63) - IF($M63="",0,$M63))/(1-Settings!$B$2),2)))</f>
        <v/>
      </c>
      <c r="V63" s="9" t="str">
        <f>IF($A63="","",$L63-($L63*Settings!$B$2)-$J63-($B63+SUM($D63:$I63)))</f>
        <v/>
      </c>
      <c r="W63" s="9" t="str">
        <f>IF($A63="","",(($B63+SUM($D63:$I63)+$J63+Settings!$B$3)/(1-Settings!$B$2))-$M63)</f>
        <v/>
      </c>
      <c r="X63" s="10" t="str">
        <f t="shared" si="4"/>
        <v/>
      </c>
      <c r="Y63" s="10" t="str">
        <f t="shared" si="5"/>
        <v/>
      </c>
      <c r="Z63" s="10" t="str">
        <f t="shared" si="6"/>
        <v/>
      </c>
      <c r="AA63" s="10" t="str">
        <f t="shared" si="7"/>
        <v/>
      </c>
      <c r="AC63" s="11"/>
      <c r="AD63" s="11"/>
      <c r="AE63" s="12" t="str">
        <f t="shared" si="8"/>
        <v/>
      </c>
    </row>
    <row r="64" spans="2:31" x14ac:dyDescent="0.25">
      <c r="B64" s="9"/>
      <c r="C64" t="s">
        <v>31</v>
      </c>
      <c r="D64" s="9" t="str">
        <f>IF($A64="","",1*'Material Costs'!$D$3)</f>
        <v/>
      </c>
      <c r="E64" s="9" t="str">
        <f>IF($A64="","",1*'Material Costs'!$D$2)</f>
        <v/>
      </c>
      <c r="F64" s="9" t="str">
        <f>IF($A64="","",IF($C64="Bubble Mailer",2,1)*'Material Costs'!$D$6)</f>
        <v/>
      </c>
      <c r="G64" s="9" t="str">
        <f>IF($A64="","",1*'Material Costs'!$D$7)</f>
        <v/>
      </c>
      <c r="H64" s="9" t="str">
        <f>IF($A64="","",IF($C64="Bubble Mailer",1,0)*'Material Costs'!$D$5)</f>
        <v/>
      </c>
      <c r="I64" s="9" t="str">
        <f>IF($A64="","",IF($C64="ESE (Ding Defend)",1,0)*'Material Costs'!$D$4)</f>
        <v/>
      </c>
      <c r="J64" s="9"/>
      <c r="K64" s="9" t="str">
        <f t="shared" si="0"/>
        <v/>
      </c>
      <c r="L64" s="9"/>
      <c r="M64" s="9"/>
      <c r="N64" s="9"/>
      <c r="O64" s="9" t="str">
        <f t="shared" si="1"/>
        <v/>
      </c>
      <c r="P64" s="9"/>
      <c r="Q64" s="9" t="str">
        <f>IF($A64="","",IF($O64="", "", ROUND($O64*Settings!$B$2+Settings!$B$3,2)))</f>
        <v/>
      </c>
      <c r="R64" s="9" t="str">
        <f>IF($A64="","",IF($L64="", "", Settings!$B$4))</f>
        <v/>
      </c>
      <c r="S64" s="9" t="str">
        <f t="shared" si="2"/>
        <v/>
      </c>
      <c r="T64" s="9" t="str">
        <f t="shared" si="3"/>
        <v/>
      </c>
      <c r="U64" s="9" t="str">
        <f>IF($A64="","",IF($K64="", "", ROUND((($K64 + Settings!$B$3 + $R64) - IF($M64="",0,$M64))/(1-Settings!$B$2),2)))</f>
        <v/>
      </c>
      <c r="V64" s="9" t="str">
        <f>IF($A64="","",$L64-($L64*Settings!$B$2)-$J64-($B64+SUM($D64:$I64)))</f>
        <v/>
      </c>
      <c r="W64" s="9" t="str">
        <f>IF($A64="","",(($B64+SUM($D64:$I64)+$J64+Settings!$B$3)/(1-Settings!$B$2))-$M64)</f>
        <v/>
      </c>
      <c r="X64" s="10" t="str">
        <f t="shared" si="4"/>
        <v/>
      </c>
      <c r="Y64" s="10" t="str">
        <f t="shared" si="5"/>
        <v/>
      </c>
      <c r="Z64" s="10" t="str">
        <f t="shared" si="6"/>
        <v/>
      </c>
      <c r="AA64" s="10" t="str">
        <f t="shared" si="7"/>
        <v/>
      </c>
      <c r="AC64" s="11"/>
      <c r="AD64" s="11"/>
      <c r="AE64" s="12" t="str">
        <f t="shared" si="8"/>
        <v/>
      </c>
    </row>
    <row r="65" spans="2:31" x14ac:dyDescent="0.25">
      <c r="B65" s="9"/>
      <c r="C65" t="s">
        <v>31</v>
      </c>
      <c r="D65" s="9" t="str">
        <f>IF($A65="","",1*'Material Costs'!$D$3)</f>
        <v/>
      </c>
      <c r="E65" s="9" t="str">
        <f>IF($A65="","",1*'Material Costs'!$D$2)</f>
        <v/>
      </c>
      <c r="F65" s="9" t="str">
        <f>IF($A65="","",IF($C65="Bubble Mailer",2,1)*'Material Costs'!$D$6)</f>
        <v/>
      </c>
      <c r="G65" s="9" t="str">
        <f>IF($A65="","",1*'Material Costs'!$D$7)</f>
        <v/>
      </c>
      <c r="H65" s="9" t="str">
        <f>IF($A65="","",IF($C65="Bubble Mailer",1,0)*'Material Costs'!$D$5)</f>
        <v/>
      </c>
      <c r="I65" s="9" t="str">
        <f>IF($A65="","",IF($C65="ESE (Ding Defend)",1,0)*'Material Costs'!$D$4)</f>
        <v/>
      </c>
      <c r="J65" s="9"/>
      <c r="K65" s="9" t="str">
        <f t="shared" ref="K65:K128" si="9">IF($A65="","",SUM($B65:$J65))</f>
        <v/>
      </c>
      <c r="L65" s="9"/>
      <c r="M65" s="9"/>
      <c r="N65" s="9"/>
      <c r="O65" s="9" t="str">
        <f t="shared" ref="O65:O128" si="10">IF($A65="","",SUM($L65:$N65))</f>
        <v/>
      </c>
      <c r="P65" s="9"/>
      <c r="Q65" s="9" t="str">
        <f>IF($A65="","",IF($O65="", "", ROUND($O65*Settings!$B$2+Settings!$B$3,2)))</f>
        <v/>
      </c>
      <c r="R65" s="9" t="str">
        <f>IF($A65="","",IF($L65="", "", Settings!$B$4))</f>
        <v/>
      </c>
      <c r="S65" s="9" t="str">
        <f t="shared" ref="S65:S128" si="11">IF($A65="","",IF($O65="", "", ROUND($O65 - IF($P65&lt;&gt;"",$P65,$Q65) - $R65,2)))</f>
        <v/>
      </c>
      <c r="T65" s="9" t="str">
        <f t="shared" ref="T65:T128" si="12">IF($A65="","",IF($S65="", "", ROUND($S65 - $K65,2)))</f>
        <v/>
      </c>
      <c r="U65" s="9" t="str">
        <f>IF($A65="","",IF($K65="", "", ROUND((($K65 + Settings!$B$3 + $R65) - IF($M65="",0,$M65))/(1-Settings!$B$2),2)))</f>
        <v/>
      </c>
      <c r="V65" s="9" t="str">
        <f>IF($A65="","",$L65-($L65*Settings!$B$2)-$J65-($B65+SUM($D65:$I65)))</f>
        <v/>
      </c>
      <c r="W65" s="9" t="str">
        <f>IF($A65="","",(($B65+SUM($D65:$I65)+$J65+Settings!$B$3)/(1-Settings!$B$2))-$M65)</f>
        <v/>
      </c>
      <c r="X65" s="10" t="str">
        <f t="shared" ref="X65:X128" si="13">IF($A65="","",IF($O65="", "", IFERROR($T65/$O65, "")))</f>
        <v/>
      </c>
      <c r="Y65" s="10" t="str">
        <f t="shared" ref="Y65:Y128" si="14">IF($A65="","",IF($K65="", "", IFERROR($T65/$K65, "")))</f>
        <v/>
      </c>
      <c r="Z65" s="10" t="str">
        <f t="shared" ref="Z65:Z128" si="15">IF($A65="","",IF($O65="", "", IFERROR($Q65/$O65, "")))</f>
        <v/>
      </c>
      <c r="AA65" s="10" t="str">
        <f t="shared" ref="AA65:AA128" si="16">IF($A65="","",IF($L65="", "", IFERROR($T65/$L65, "")))</f>
        <v/>
      </c>
      <c r="AC65" s="11"/>
      <c r="AD65" s="11"/>
      <c r="AE65" s="12" t="str">
        <f t="shared" ref="AE65:AE128" si="17">IF($A65="","",IF(OR($AC65="", $AD65=""),"", $AD65-$AC65))</f>
        <v/>
      </c>
    </row>
    <row r="66" spans="2:31" x14ac:dyDescent="0.25">
      <c r="B66" s="9"/>
      <c r="C66" t="s">
        <v>31</v>
      </c>
      <c r="D66" s="9" t="str">
        <f>IF($A66="","",1*'Material Costs'!$D$3)</f>
        <v/>
      </c>
      <c r="E66" s="9" t="str">
        <f>IF($A66="","",1*'Material Costs'!$D$2)</f>
        <v/>
      </c>
      <c r="F66" s="9" t="str">
        <f>IF($A66="","",IF($C66="Bubble Mailer",2,1)*'Material Costs'!$D$6)</f>
        <v/>
      </c>
      <c r="G66" s="9" t="str">
        <f>IF($A66="","",1*'Material Costs'!$D$7)</f>
        <v/>
      </c>
      <c r="H66" s="9" t="str">
        <f>IF($A66="","",IF($C66="Bubble Mailer",1,0)*'Material Costs'!$D$5)</f>
        <v/>
      </c>
      <c r="I66" s="9" t="str">
        <f>IF($A66="","",IF($C66="ESE (Ding Defend)",1,0)*'Material Costs'!$D$4)</f>
        <v/>
      </c>
      <c r="J66" s="9"/>
      <c r="K66" s="9" t="str">
        <f t="shared" si="9"/>
        <v/>
      </c>
      <c r="L66" s="9"/>
      <c r="M66" s="9"/>
      <c r="N66" s="9"/>
      <c r="O66" s="9" t="str">
        <f t="shared" si="10"/>
        <v/>
      </c>
      <c r="P66" s="9"/>
      <c r="Q66" s="9" t="str">
        <f>IF($A66="","",IF($O66="", "", ROUND($O66*Settings!$B$2+Settings!$B$3,2)))</f>
        <v/>
      </c>
      <c r="R66" s="9" t="str">
        <f>IF($A66="","",IF($L66="", "", Settings!$B$4))</f>
        <v/>
      </c>
      <c r="S66" s="9" t="str">
        <f t="shared" si="11"/>
        <v/>
      </c>
      <c r="T66" s="9" t="str">
        <f t="shared" si="12"/>
        <v/>
      </c>
      <c r="U66" s="9" t="str">
        <f>IF($A66="","",IF($K66="", "", ROUND((($K66 + Settings!$B$3 + $R66) - IF($M66="",0,$M66))/(1-Settings!$B$2),2)))</f>
        <v/>
      </c>
      <c r="V66" s="9" t="str">
        <f>IF($A66="","",$L66-($L66*Settings!$B$2)-$J66-($B66+SUM($D66:$I66)))</f>
        <v/>
      </c>
      <c r="W66" s="9" t="str">
        <f>IF($A66="","",(($B66+SUM($D66:$I66)+$J66+Settings!$B$3)/(1-Settings!$B$2))-$M66)</f>
        <v/>
      </c>
      <c r="X66" s="10" t="str">
        <f t="shared" si="13"/>
        <v/>
      </c>
      <c r="Y66" s="10" t="str">
        <f t="shared" si="14"/>
        <v/>
      </c>
      <c r="Z66" s="10" t="str">
        <f t="shared" si="15"/>
        <v/>
      </c>
      <c r="AA66" s="10" t="str">
        <f t="shared" si="16"/>
        <v/>
      </c>
      <c r="AC66" s="11"/>
      <c r="AD66" s="11"/>
      <c r="AE66" s="12" t="str">
        <f t="shared" si="17"/>
        <v/>
      </c>
    </row>
    <row r="67" spans="2:31" x14ac:dyDescent="0.25">
      <c r="B67" s="9"/>
      <c r="C67" t="s">
        <v>31</v>
      </c>
      <c r="D67" s="9" t="str">
        <f>IF($A67="","",1*'Material Costs'!$D$3)</f>
        <v/>
      </c>
      <c r="E67" s="9" t="str">
        <f>IF($A67="","",1*'Material Costs'!$D$2)</f>
        <v/>
      </c>
      <c r="F67" s="9" t="str">
        <f>IF($A67="","",IF($C67="Bubble Mailer",2,1)*'Material Costs'!$D$6)</f>
        <v/>
      </c>
      <c r="G67" s="9" t="str">
        <f>IF($A67="","",1*'Material Costs'!$D$7)</f>
        <v/>
      </c>
      <c r="H67" s="9" t="str">
        <f>IF($A67="","",IF($C67="Bubble Mailer",1,0)*'Material Costs'!$D$5)</f>
        <v/>
      </c>
      <c r="I67" s="9" t="str">
        <f>IF($A67="","",IF($C67="ESE (Ding Defend)",1,0)*'Material Costs'!$D$4)</f>
        <v/>
      </c>
      <c r="J67" s="9"/>
      <c r="K67" s="9" t="str">
        <f t="shared" si="9"/>
        <v/>
      </c>
      <c r="L67" s="9"/>
      <c r="M67" s="9"/>
      <c r="N67" s="9"/>
      <c r="O67" s="9" t="str">
        <f t="shared" si="10"/>
        <v/>
      </c>
      <c r="P67" s="9"/>
      <c r="Q67" s="9" t="str">
        <f>IF($A67="","",IF($O67="", "", ROUND($O67*Settings!$B$2+Settings!$B$3,2)))</f>
        <v/>
      </c>
      <c r="R67" s="9" t="str">
        <f>IF($A67="","",IF($L67="", "", Settings!$B$4))</f>
        <v/>
      </c>
      <c r="S67" s="9" t="str">
        <f t="shared" si="11"/>
        <v/>
      </c>
      <c r="T67" s="9" t="str">
        <f t="shared" si="12"/>
        <v/>
      </c>
      <c r="U67" s="9" t="str">
        <f>IF($A67="","",IF($K67="", "", ROUND((($K67 + Settings!$B$3 + $R67) - IF($M67="",0,$M67))/(1-Settings!$B$2),2)))</f>
        <v/>
      </c>
      <c r="V67" s="9" t="str">
        <f>IF($A67="","",$L67-($L67*Settings!$B$2)-$J67-($B67+SUM($D67:$I67)))</f>
        <v/>
      </c>
      <c r="W67" s="9" t="str">
        <f>IF($A67="","",(($B67+SUM($D67:$I67)+$J67+Settings!$B$3)/(1-Settings!$B$2))-$M67)</f>
        <v/>
      </c>
      <c r="X67" s="10" t="str">
        <f t="shared" si="13"/>
        <v/>
      </c>
      <c r="Y67" s="10" t="str">
        <f t="shared" si="14"/>
        <v/>
      </c>
      <c r="Z67" s="10" t="str">
        <f t="shared" si="15"/>
        <v/>
      </c>
      <c r="AA67" s="10" t="str">
        <f t="shared" si="16"/>
        <v/>
      </c>
      <c r="AC67" s="11"/>
      <c r="AD67" s="11"/>
      <c r="AE67" s="12" t="str">
        <f t="shared" si="17"/>
        <v/>
      </c>
    </row>
    <row r="68" spans="2:31" x14ac:dyDescent="0.25">
      <c r="B68" s="9"/>
      <c r="C68" t="s">
        <v>31</v>
      </c>
      <c r="D68" s="9" t="str">
        <f>IF($A68="","",1*'Material Costs'!$D$3)</f>
        <v/>
      </c>
      <c r="E68" s="9" t="str">
        <f>IF($A68="","",1*'Material Costs'!$D$2)</f>
        <v/>
      </c>
      <c r="F68" s="9" t="str">
        <f>IF($A68="","",IF($C68="Bubble Mailer",2,1)*'Material Costs'!$D$6)</f>
        <v/>
      </c>
      <c r="G68" s="9" t="str">
        <f>IF($A68="","",1*'Material Costs'!$D$7)</f>
        <v/>
      </c>
      <c r="H68" s="9" t="str">
        <f>IF($A68="","",IF($C68="Bubble Mailer",1,0)*'Material Costs'!$D$5)</f>
        <v/>
      </c>
      <c r="I68" s="9" t="str">
        <f>IF($A68="","",IF($C68="ESE (Ding Defend)",1,0)*'Material Costs'!$D$4)</f>
        <v/>
      </c>
      <c r="J68" s="9"/>
      <c r="K68" s="9" t="str">
        <f t="shared" si="9"/>
        <v/>
      </c>
      <c r="L68" s="9"/>
      <c r="M68" s="9"/>
      <c r="N68" s="9"/>
      <c r="O68" s="9" t="str">
        <f t="shared" si="10"/>
        <v/>
      </c>
      <c r="P68" s="9"/>
      <c r="Q68" s="9" t="str">
        <f>IF($A68="","",IF($O68="", "", ROUND($O68*Settings!$B$2+Settings!$B$3,2)))</f>
        <v/>
      </c>
      <c r="R68" s="9" t="str">
        <f>IF($A68="","",IF($L68="", "", Settings!$B$4))</f>
        <v/>
      </c>
      <c r="S68" s="9" t="str">
        <f t="shared" si="11"/>
        <v/>
      </c>
      <c r="T68" s="9" t="str">
        <f t="shared" si="12"/>
        <v/>
      </c>
      <c r="U68" s="9" t="str">
        <f>IF($A68="","",IF($K68="", "", ROUND((($K68 + Settings!$B$3 + $R68) - IF($M68="",0,$M68))/(1-Settings!$B$2),2)))</f>
        <v/>
      </c>
      <c r="V68" s="9" t="str">
        <f>IF($A68="","",$L68-($L68*Settings!$B$2)-$J68-($B68+SUM($D68:$I68)))</f>
        <v/>
      </c>
      <c r="W68" s="9" t="str">
        <f>IF($A68="","",(($B68+SUM($D68:$I68)+$J68+Settings!$B$3)/(1-Settings!$B$2))-$M68)</f>
        <v/>
      </c>
      <c r="X68" s="10" t="str">
        <f t="shared" si="13"/>
        <v/>
      </c>
      <c r="Y68" s="10" t="str">
        <f t="shared" si="14"/>
        <v/>
      </c>
      <c r="Z68" s="10" t="str">
        <f t="shared" si="15"/>
        <v/>
      </c>
      <c r="AA68" s="10" t="str">
        <f t="shared" si="16"/>
        <v/>
      </c>
      <c r="AC68" s="11"/>
      <c r="AD68" s="11"/>
      <c r="AE68" s="12" t="str">
        <f t="shared" si="17"/>
        <v/>
      </c>
    </row>
    <row r="69" spans="2:31" x14ac:dyDescent="0.25">
      <c r="B69" s="9"/>
      <c r="C69" t="s">
        <v>31</v>
      </c>
      <c r="D69" s="9" t="str">
        <f>IF($A69="","",1*'Material Costs'!$D$3)</f>
        <v/>
      </c>
      <c r="E69" s="9" t="str">
        <f>IF($A69="","",1*'Material Costs'!$D$2)</f>
        <v/>
      </c>
      <c r="F69" s="9" t="str">
        <f>IF($A69="","",IF($C69="Bubble Mailer",2,1)*'Material Costs'!$D$6)</f>
        <v/>
      </c>
      <c r="G69" s="9" t="str">
        <f>IF($A69="","",1*'Material Costs'!$D$7)</f>
        <v/>
      </c>
      <c r="H69" s="9" t="str">
        <f>IF($A69="","",IF($C69="Bubble Mailer",1,0)*'Material Costs'!$D$5)</f>
        <v/>
      </c>
      <c r="I69" s="9" t="str">
        <f>IF($A69="","",IF($C69="ESE (Ding Defend)",1,0)*'Material Costs'!$D$4)</f>
        <v/>
      </c>
      <c r="J69" s="9"/>
      <c r="K69" s="9" t="str">
        <f t="shared" si="9"/>
        <v/>
      </c>
      <c r="L69" s="9"/>
      <c r="M69" s="9"/>
      <c r="N69" s="9"/>
      <c r="O69" s="9" t="str">
        <f t="shared" si="10"/>
        <v/>
      </c>
      <c r="P69" s="9"/>
      <c r="Q69" s="9" t="str">
        <f>IF($A69="","",IF($O69="", "", ROUND($O69*Settings!$B$2+Settings!$B$3,2)))</f>
        <v/>
      </c>
      <c r="R69" s="9" t="str">
        <f>IF($A69="","",IF($L69="", "", Settings!$B$4))</f>
        <v/>
      </c>
      <c r="S69" s="9" t="str">
        <f t="shared" si="11"/>
        <v/>
      </c>
      <c r="T69" s="9" t="str">
        <f t="shared" si="12"/>
        <v/>
      </c>
      <c r="U69" s="9" t="str">
        <f>IF($A69="","",IF($K69="", "", ROUND((($K69 + Settings!$B$3 + $R69) - IF($M69="",0,$M69))/(1-Settings!$B$2),2)))</f>
        <v/>
      </c>
      <c r="V69" s="9" t="str">
        <f>IF($A69="","",$L69-($L69*Settings!$B$2)-$J69-($B69+SUM($D69:$I69)))</f>
        <v/>
      </c>
      <c r="W69" s="9" t="str">
        <f>IF($A69="","",(($B69+SUM($D69:$I69)+$J69+Settings!$B$3)/(1-Settings!$B$2))-$M69)</f>
        <v/>
      </c>
      <c r="X69" s="10" t="str">
        <f t="shared" si="13"/>
        <v/>
      </c>
      <c r="Y69" s="10" t="str">
        <f t="shared" si="14"/>
        <v/>
      </c>
      <c r="Z69" s="10" t="str">
        <f t="shared" si="15"/>
        <v/>
      </c>
      <c r="AA69" s="10" t="str">
        <f t="shared" si="16"/>
        <v/>
      </c>
      <c r="AC69" s="11"/>
      <c r="AD69" s="11"/>
      <c r="AE69" s="12" t="str">
        <f t="shared" si="17"/>
        <v/>
      </c>
    </row>
    <row r="70" spans="2:31" x14ac:dyDescent="0.25">
      <c r="B70" s="9"/>
      <c r="C70" t="s">
        <v>31</v>
      </c>
      <c r="D70" s="9" t="str">
        <f>IF($A70="","",1*'Material Costs'!$D$3)</f>
        <v/>
      </c>
      <c r="E70" s="9" t="str">
        <f>IF($A70="","",1*'Material Costs'!$D$2)</f>
        <v/>
      </c>
      <c r="F70" s="9" t="str">
        <f>IF($A70="","",IF($C70="Bubble Mailer",2,1)*'Material Costs'!$D$6)</f>
        <v/>
      </c>
      <c r="G70" s="9" t="str">
        <f>IF($A70="","",1*'Material Costs'!$D$7)</f>
        <v/>
      </c>
      <c r="H70" s="9" t="str">
        <f>IF($A70="","",IF($C70="Bubble Mailer",1,0)*'Material Costs'!$D$5)</f>
        <v/>
      </c>
      <c r="I70" s="9" t="str">
        <f>IF($A70="","",IF($C70="ESE (Ding Defend)",1,0)*'Material Costs'!$D$4)</f>
        <v/>
      </c>
      <c r="J70" s="9"/>
      <c r="K70" s="9" t="str">
        <f t="shared" si="9"/>
        <v/>
      </c>
      <c r="L70" s="9"/>
      <c r="M70" s="9"/>
      <c r="N70" s="9"/>
      <c r="O70" s="9" t="str">
        <f t="shared" si="10"/>
        <v/>
      </c>
      <c r="P70" s="9"/>
      <c r="Q70" s="9" t="str">
        <f>IF($A70="","",IF($O70="", "", ROUND($O70*Settings!$B$2+Settings!$B$3,2)))</f>
        <v/>
      </c>
      <c r="R70" s="9" t="str">
        <f>IF($A70="","",IF($L70="", "", Settings!$B$4))</f>
        <v/>
      </c>
      <c r="S70" s="9" t="str">
        <f t="shared" si="11"/>
        <v/>
      </c>
      <c r="T70" s="9" t="str">
        <f t="shared" si="12"/>
        <v/>
      </c>
      <c r="U70" s="9" t="str">
        <f>IF($A70="","",IF($K70="", "", ROUND((($K70 + Settings!$B$3 + $R70) - IF($M70="",0,$M70))/(1-Settings!$B$2),2)))</f>
        <v/>
      </c>
      <c r="V70" s="9" t="str">
        <f>IF($A70="","",$L70-($L70*Settings!$B$2)-$J70-($B70+SUM($D70:$I70)))</f>
        <v/>
      </c>
      <c r="W70" s="9" t="str">
        <f>IF($A70="","",(($B70+SUM($D70:$I70)+$J70+Settings!$B$3)/(1-Settings!$B$2))-$M70)</f>
        <v/>
      </c>
      <c r="X70" s="10" t="str">
        <f t="shared" si="13"/>
        <v/>
      </c>
      <c r="Y70" s="10" t="str">
        <f t="shared" si="14"/>
        <v/>
      </c>
      <c r="Z70" s="10" t="str">
        <f t="shared" si="15"/>
        <v/>
      </c>
      <c r="AA70" s="10" t="str">
        <f t="shared" si="16"/>
        <v/>
      </c>
      <c r="AC70" s="11"/>
      <c r="AD70" s="11"/>
      <c r="AE70" s="12" t="str">
        <f t="shared" si="17"/>
        <v/>
      </c>
    </row>
    <row r="71" spans="2:31" x14ac:dyDescent="0.25">
      <c r="B71" s="9"/>
      <c r="C71" t="s">
        <v>31</v>
      </c>
      <c r="D71" s="9" t="str">
        <f>IF($A71="","",1*'Material Costs'!$D$3)</f>
        <v/>
      </c>
      <c r="E71" s="9" t="str">
        <f>IF($A71="","",1*'Material Costs'!$D$2)</f>
        <v/>
      </c>
      <c r="F71" s="9" t="str">
        <f>IF($A71="","",IF($C71="Bubble Mailer",2,1)*'Material Costs'!$D$6)</f>
        <v/>
      </c>
      <c r="G71" s="9" t="str">
        <f>IF($A71="","",1*'Material Costs'!$D$7)</f>
        <v/>
      </c>
      <c r="H71" s="9" t="str">
        <f>IF($A71="","",IF($C71="Bubble Mailer",1,0)*'Material Costs'!$D$5)</f>
        <v/>
      </c>
      <c r="I71" s="9" t="str">
        <f>IF($A71="","",IF($C71="ESE (Ding Defend)",1,0)*'Material Costs'!$D$4)</f>
        <v/>
      </c>
      <c r="J71" s="9"/>
      <c r="K71" s="9" t="str">
        <f t="shared" si="9"/>
        <v/>
      </c>
      <c r="L71" s="9"/>
      <c r="M71" s="9"/>
      <c r="N71" s="9"/>
      <c r="O71" s="9" t="str">
        <f t="shared" si="10"/>
        <v/>
      </c>
      <c r="P71" s="9"/>
      <c r="Q71" s="9" t="str">
        <f>IF($A71="","",IF($O71="", "", ROUND($O71*Settings!$B$2+Settings!$B$3,2)))</f>
        <v/>
      </c>
      <c r="R71" s="9" t="str">
        <f>IF($A71="","",IF($L71="", "", Settings!$B$4))</f>
        <v/>
      </c>
      <c r="S71" s="9" t="str">
        <f t="shared" si="11"/>
        <v/>
      </c>
      <c r="T71" s="9" t="str">
        <f t="shared" si="12"/>
        <v/>
      </c>
      <c r="U71" s="9" t="str">
        <f>IF($A71="","",IF($K71="", "", ROUND((($K71 + Settings!$B$3 + $R71) - IF($M71="",0,$M71))/(1-Settings!$B$2),2)))</f>
        <v/>
      </c>
      <c r="V71" s="9" t="str">
        <f>IF($A71="","",$L71-($L71*Settings!$B$2)-$J71-($B71+SUM($D71:$I71)))</f>
        <v/>
      </c>
      <c r="W71" s="9" t="str">
        <f>IF($A71="","",(($B71+SUM($D71:$I71)+$J71+Settings!$B$3)/(1-Settings!$B$2))-$M71)</f>
        <v/>
      </c>
      <c r="X71" s="10" t="str">
        <f t="shared" si="13"/>
        <v/>
      </c>
      <c r="Y71" s="10" t="str">
        <f t="shared" si="14"/>
        <v/>
      </c>
      <c r="Z71" s="10" t="str">
        <f t="shared" si="15"/>
        <v/>
      </c>
      <c r="AA71" s="10" t="str">
        <f t="shared" si="16"/>
        <v/>
      </c>
      <c r="AC71" s="11"/>
      <c r="AD71" s="11"/>
      <c r="AE71" s="12" t="str">
        <f t="shared" si="17"/>
        <v/>
      </c>
    </row>
    <row r="72" spans="2:31" x14ac:dyDescent="0.25">
      <c r="B72" s="9"/>
      <c r="C72" t="s">
        <v>31</v>
      </c>
      <c r="D72" s="9" t="str">
        <f>IF($A72="","",1*'Material Costs'!$D$3)</f>
        <v/>
      </c>
      <c r="E72" s="9" t="str">
        <f>IF($A72="","",1*'Material Costs'!$D$2)</f>
        <v/>
      </c>
      <c r="F72" s="9" t="str">
        <f>IF($A72="","",IF($C72="Bubble Mailer",2,1)*'Material Costs'!$D$6)</f>
        <v/>
      </c>
      <c r="G72" s="9" t="str">
        <f>IF($A72="","",1*'Material Costs'!$D$7)</f>
        <v/>
      </c>
      <c r="H72" s="9" t="str">
        <f>IF($A72="","",IF($C72="Bubble Mailer",1,0)*'Material Costs'!$D$5)</f>
        <v/>
      </c>
      <c r="I72" s="9" t="str">
        <f>IF($A72="","",IF($C72="ESE (Ding Defend)",1,0)*'Material Costs'!$D$4)</f>
        <v/>
      </c>
      <c r="J72" s="9"/>
      <c r="K72" s="9" t="str">
        <f t="shared" si="9"/>
        <v/>
      </c>
      <c r="L72" s="9"/>
      <c r="M72" s="9"/>
      <c r="N72" s="9"/>
      <c r="O72" s="9" t="str">
        <f t="shared" si="10"/>
        <v/>
      </c>
      <c r="P72" s="9"/>
      <c r="Q72" s="9" t="str">
        <f>IF($A72="","",IF($O72="", "", ROUND($O72*Settings!$B$2+Settings!$B$3,2)))</f>
        <v/>
      </c>
      <c r="R72" s="9" t="str">
        <f>IF($A72="","",IF($L72="", "", Settings!$B$4))</f>
        <v/>
      </c>
      <c r="S72" s="9" t="str">
        <f t="shared" si="11"/>
        <v/>
      </c>
      <c r="T72" s="9" t="str">
        <f t="shared" si="12"/>
        <v/>
      </c>
      <c r="U72" s="9" t="str">
        <f>IF($A72="","",IF($K72="", "", ROUND((($K72 + Settings!$B$3 + $R72) - IF($M72="",0,$M72))/(1-Settings!$B$2),2)))</f>
        <v/>
      </c>
      <c r="V72" s="9" t="str">
        <f>IF($A72="","",$L72-($L72*Settings!$B$2)-$J72-($B72+SUM($D72:$I72)))</f>
        <v/>
      </c>
      <c r="W72" s="9" t="str">
        <f>IF($A72="","",(($B72+SUM($D72:$I72)+$J72+Settings!$B$3)/(1-Settings!$B$2))-$M72)</f>
        <v/>
      </c>
      <c r="X72" s="10" t="str">
        <f t="shared" si="13"/>
        <v/>
      </c>
      <c r="Y72" s="10" t="str">
        <f t="shared" si="14"/>
        <v/>
      </c>
      <c r="Z72" s="10" t="str">
        <f t="shared" si="15"/>
        <v/>
      </c>
      <c r="AA72" s="10" t="str">
        <f t="shared" si="16"/>
        <v/>
      </c>
      <c r="AC72" s="11"/>
      <c r="AD72" s="11"/>
      <c r="AE72" s="12" t="str">
        <f t="shared" si="17"/>
        <v/>
      </c>
    </row>
    <row r="73" spans="2:31" x14ac:dyDescent="0.25">
      <c r="B73" s="9"/>
      <c r="C73" t="s">
        <v>31</v>
      </c>
      <c r="D73" s="9" t="str">
        <f>IF($A73="","",1*'Material Costs'!$D$3)</f>
        <v/>
      </c>
      <c r="E73" s="9" t="str">
        <f>IF($A73="","",1*'Material Costs'!$D$2)</f>
        <v/>
      </c>
      <c r="F73" s="9" t="str">
        <f>IF($A73="","",IF($C73="Bubble Mailer",2,1)*'Material Costs'!$D$6)</f>
        <v/>
      </c>
      <c r="G73" s="9" t="str">
        <f>IF($A73="","",1*'Material Costs'!$D$7)</f>
        <v/>
      </c>
      <c r="H73" s="9" t="str">
        <f>IF($A73="","",IF($C73="Bubble Mailer",1,0)*'Material Costs'!$D$5)</f>
        <v/>
      </c>
      <c r="I73" s="9" t="str">
        <f>IF($A73="","",IF($C73="ESE (Ding Defend)",1,0)*'Material Costs'!$D$4)</f>
        <v/>
      </c>
      <c r="J73" s="9"/>
      <c r="K73" s="9" t="str">
        <f t="shared" si="9"/>
        <v/>
      </c>
      <c r="L73" s="9"/>
      <c r="M73" s="9"/>
      <c r="N73" s="9"/>
      <c r="O73" s="9" t="str">
        <f t="shared" si="10"/>
        <v/>
      </c>
      <c r="P73" s="9"/>
      <c r="Q73" s="9" t="str">
        <f>IF($A73="","",IF($O73="", "", ROUND($O73*Settings!$B$2+Settings!$B$3,2)))</f>
        <v/>
      </c>
      <c r="R73" s="9" t="str">
        <f>IF($A73="","",IF($L73="", "", Settings!$B$4))</f>
        <v/>
      </c>
      <c r="S73" s="9" t="str">
        <f t="shared" si="11"/>
        <v/>
      </c>
      <c r="T73" s="9" t="str">
        <f t="shared" si="12"/>
        <v/>
      </c>
      <c r="U73" s="9" t="str">
        <f>IF($A73="","",IF($K73="", "", ROUND((($K73 + Settings!$B$3 + $R73) - IF($M73="",0,$M73))/(1-Settings!$B$2),2)))</f>
        <v/>
      </c>
      <c r="V73" s="9" t="str">
        <f>IF($A73="","",$L73-($L73*Settings!$B$2)-$J73-($B73+SUM($D73:$I73)))</f>
        <v/>
      </c>
      <c r="W73" s="9" t="str">
        <f>IF($A73="","",(($B73+SUM($D73:$I73)+$J73+Settings!$B$3)/(1-Settings!$B$2))-$M73)</f>
        <v/>
      </c>
      <c r="X73" s="10" t="str">
        <f t="shared" si="13"/>
        <v/>
      </c>
      <c r="Y73" s="10" t="str">
        <f t="shared" si="14"/>
        <v/>
      </c>
      <c r="Z73" s="10" t="str">
        <f t="shared" si="15"/>
        <v/>
      </c>
      <c r="AA73" s="10" t="str">
        <f t="shared" si="16"/>
        <v/>
      </c>
      <c r="AC73" s="11"/>
      <c r="AD73" s="11"/>
      <c r="AE73" s="12" t="str">
        <f t="shared" si="17"/>
        <v/>
      </c>
    </row>
    <row r="74" spans="2:31" x14ac:dyDescent="0.25">
      <c r="B74" s="9"/>
      <c r="C74" t="s">
        <v>31</v>
      </c>
      <c r="D74" s="9" t="str">
        <f>IF($A74="","",1*'Material Costs'!$D$3)</f>
        <v/>
      </c>
      <c r="E74" s="9" t="str">
        <f>IF($A74="","",1*'Material Costs'!$D$2)</f>
        <v/>
      </c>
      <c r="F74" s="9" t="str">
        <f>IF($A74="","",IF($C74="Bubble Mailer",2,1)*'Material Costs'!$D$6)</f>
        <v/>
      </c>
      <c r="G74" s="9" t="str">
        <f>IF($A74="","",1*'Material Costs'!$D$7)</f>
        <v/>
      </c>
      <c r="H74" s="9" t="str">
        <f>IF($A74="","",IF($C74="Bubble Mailer",1,0)*'Material Costs'!$D$5)</f>
        <v/>
      </c>
      <c r="I74" s="9" t="str">
        <f>IF($A74="","",IF($C74="ESE (Ding Defend)",1,0)*'Material Costs'!$D$4)</f>
        <v/>
      </c>
      <c r="J74" s="9"/>
      <c r="K74" s="9" t="str">
        <f t="shared" si="9"/>
        <v/>
      </c>
      <c r="L74" s="9"/>
      <c r="M74" s="9"/>
      <c r="N74" s="9"/>
      <c r="O74" s="9" t="str">
        <f t="shared" si="10"/>
        <v/>
      </c>
      <c r="P74" s="9"/>
      <c r="Q74" s="9" t="str">
        <f>IF($A74="","",IF($O74="", "", ROUND($O74*Settings!$B$2+Settings!$B$3,2)))</f>
        <v/>
      </c>
      <c r="R74" s="9" t="str">
        <f>IF($A74="","",IF($L74="", "", Settings!$B$4))</f>
        <v/>
      </c>
      <c r="S74" s="9" t="str">
        <f t="shared" si="11"/>
        <v/>
      </c>
      <c r="T74" s="9" t="str">
        <f t="shared" si="12"/>
        <v/>
      </c>
      <c r="U74" s="9" t="str">
        <f>IF($A74="","",IF($K74="", "", ROUND((($K74 + Settings!$B$3 + $R74) - IF($M74="",0,$M74))/(1-Settings!$B$2),2)))</f>
        <v/>
      </c>
      <c r="V74" s="9" t="str">
        <f>IF($A74="","",$L74-($L74*Settings!$B$2)-$J74-($B74+SUM($D74:$I74)))</f>
        <v/>
      </c>
      <c r="W74" s="9" t="str">
        <f>IF($A74="","",(($B74+SUM($D74:$I74)+$J74+Settings!$B$3)/(1-Settings!$B$2))-$M74)</f>
        <v/>
      </c>
      <c r="X74" s="10" t="str">
        <f t="shared" si="13"/>
        <v/>
      </c>
      <c r="Y74" s="10" t="str">
        <f t="shared" si="14"/>
        <v/>
      </c>
      <c r="Z74" s="10" t="str">
        <f t="shared" si="15"/>
        <v/>
      </c>
      <c r="AA74" s="10" t="str">
        <f t="shared" si="16"/>
        <v/>
      </c>
      <c r="AC74" s="11"/>
      <c r="AD74" s="11"/>
      <c r="AE74" s="12" t="str">
        <f t="shared" si="17"/>
        <v/>
      </c>
    </row>
    <row r="75" spans="2:31" x14ac:dyDescent="0.25">
      <c r="B75" s="9"/>
      <c r="C75" t="s">
        <v>31</v>
      </c>
      <c r="D75" s="9" t="str">
        <f>IF($A75="","",1*'Material Costs'!$D$3)</f>
        <v/>
      </c>
      <c r="E75" s="9" t="str">
        <f>IF($A75="","",1*'Material Costs'!$D$2)</f>
        <v/>
      </c>
      <c r="F75" s="9" t="str">
        <f>IF($A75="","",IF($C75="Bubble Mailer",2,1)*'Material Costs'!$D$6)</f>
        <v/>
      </c>
      <c r="G75" s="9" t="str">
        <f>IF($A75="","",1*'Material Costs'!$D$7)</f>
        <v/>
      </c>
      <c r="H75" s="9" t="str">
        <f>IF($A75="","",IF($C75="Bubble Mailer",1,0)*'Material Costs'!$D$5)</f>
        <v/>
      </c>
      <c r="I75" s="9" t="str">
        <f>IF($A75="","",IF($C75="ESE (Ding Defend)",1,0)*'Material Costs'!$D$4)</f>
        <v/>
      </c>
      <c r="J75" s="9"/>
      <c r="K75" s="9" t="str">
        <f t="shared" si="9"/>
        <v/>
      </c>
      <c r="L75" s="9"/>
      <c r="M75" s="9"/>
      <c r="N75" s="9"/>
      <c r="O75" s="9" t="str">
        <f t="shared" si="10"/>
        <v/>
      </c>
      <c r="P75" s="9"/>
      <c r="Q75" s="9" t="str">
        <f>IF($A75="","",IF($O75="", "", ROUND($O75*Settings!$B$2+Settings!$B$3,2)))</f>
        <v/>
      </c>
      <c r="R75" s="9" t="str">
        <f>IF($A75="","",IF($L75="", "", Settings!$B$4))</f>
        <v/>
      </c>
      <c r="S75" s="9" t="str">
        <f t="shared" si="11"/>
        <v/>
      </c>
      <c r="T75" s="9" t="str">
        <f t="shared" si="12"/>
        <v/>
      </c>
      <c r="U75" s="9" t="str">
        <f>IF($A75="","",IF($K75="", "", ROUND((($K75 + Settings!$B$3 + $R75) - IF($M75="",0,$M75))/(1-Settings!$B$2),2)))</f>
        <v/>
      </c>
      <c r="V75" s="9" t="str">
        <f>IF($A75="","",$L75-($L75*Settings!$B$2)-$J75-($B75+SUM($D75:$I75)))</f>
        <v/>
      </c>
      <c r="W75" s="9" t="str">
        <f>IF($A75="","",(($B75+SUM($D75:$I75)+$J75+Settings!$B$3)/(1-Settings!$B$2))-$M75)</f>
        <v/>
      </c>
      <c r="X75" s="10" t="str">
        <f t="shared" si="13"/>
        <v/>
      </c>
      <c r="Y75" s="10" t="str">
        <f t="shared" si="14"/>
        <v/>
      </c>
      <c r="Z75" s="10" t="str">
        <f t="shared" si="15"/>
        <v/>
      </c>
      <c r="AA75" s="10" t="str">
        <f t="shared" si="16"/>
        <v/>
      </c>
      <c r="AC75" s="11"/>
      <c r="AD75" s="11"/>
      <c r="AE75" s="12" t="str">
        <f t="shared" si="17"/>
        <v/>
      </c>
    </row>
    <row r="76" spans="2:31" x14ac:dyDescent="0.25">
      <c r="B76" s="9"/>
      <c r="C76" t="s">
        <v>31</v>
      </c>
      <c r="D76" s="9" t="str">
        <f>IF($A76="","",1*'Material Costs'!$D$3)</f>
        <v/>
      </c>
      <c r="E76" s="9" t="str">
        <f>IF($A76="","",1*'Material Costs'!$D$2)</f>
        <v/>
      </c>
      <c r="F76" s="9" t="str">
        <f>IF($A76="","",IF($C76="Bubble Mailer",2,1)*'Material Costs'!$D$6)</f>
        <v/>
      </c>
      <c r="G76" s="9" t="str">
        <f>IF($A76="","",1*'Material Costs'!$D$7)</f>
        <v/>
      </c>
      <c r="H76" s="9" t="str">
        <f>IF($A76="","",IF($C76="Bubble Mailer",1,0)*'Material Costs'!$D$5)</f>
        <v/>
      </c>
      <c r="I76" s="9" t="str">
        <f>IF($A76="","",IF($C76="ESE (Ding Defend)",1,0)*'Material Costs'!$D$4)</f>
        <v/>
      </c>
      <c r="J76" s="9"/>
      <c r="K76" s="9" t="str">
        <f t="shared" si="9"/>
        <v/>
      </c>
      <c r="L76" s="9"/>
      <c r="M76" s="9"/>
      <c r="N76" s="9"/>
      <c r="O76" s="9" t="str">
        <f t="shared" si="10"/>
        <v/>
      </c>
      <c r="P76" s="9"/>
      <c r="Q76" s="9" t="str">
        <f>IF($A76="","",IF($O76="", "", ROUND($O76*Settings!$B$2+Settings!$B$3,2)))</f>
        <v/>
      </c>
      <c r="R76" s="9" t="str">
        <f>IF($A76="","",IF($L76="", "", Settings!$B$4))</f>
        <v/>
      </c>
      <c r="S76" s="9" t="str">
        <f t="shared" si="11"/>
        <v/>
      </c>
      <c r="T76" s="9" t="str">
        <f t="shared" si="12"/>
        <v/>
      </c>
      <c r="U76" s="9" t="str">
        <f>IF($A76="","",IF($K76="", "", ROUND((($K76 + Settings!$B$3 + $R76) - IF($M76="",0,$M76))/(1-Settings!$B$2),2)))</f>
        <v/>
      </c>
      <c r="V76" s="9" t="str">
        <f>IF($A76="","",$L76-($L76*Settings!$B$2)-$J76-($B76+SUM($D76:$I76)))</f>
        <v/>
      </c>
      <c r="W76" s="9" t="str">
        <f>IF($A76="","",(($B76+SUM($D76:$I76)+$J76+Settings!$B$3)/(1-Settings!$B$2))-$M76)</f>
        <v/>
      </c>
      <c r="X76" s="10" t="str">
        <f t="shared" si="13"/>
        <v/>
      </c>
      <c r="Y76" s="10" t="str">
        <f t="shared" si="14"/>
        <v/>
      </c>
      <c r="Z76" s="10" t="str">
        <f t="shared" si="15"/>
        <v/>
      </c>
      <c r="AA76" s="10" t="str">
        <f t="shared" si="16"/>
        <v/>
      </c>
      <c r="AC76" s="11"/>
      <c r="AD76" s="11"/>
      <c r="AE76" s="12" t="str">
        <f t="shared" si="17"/>
        <v/>
      </c>
    </row>
    <row r="77" spans="2:31" x14ac:dyDescent="0.25">
      <c r="B77" s="9"/>
      <c r="C77" t="s">
        <v>31</v>
      </c>
      <c r="D77" s="9" t="str">
        <f>IF($A77="","",1*'Material Costs'!$D$3)</f>
        <v/>
      </c>
      <c r="E77" s="9" t="str">
        <f>IF($A77="","",1*'Material Costs'!$D$2)</f>
        <v/>
      </c>
      <c r="F77" s="9" t="str">
        <f>IF($A77="","",IF($C77="Bubble Mailer",2,1)*'Material Costs'!$D$6)</f>
        <v/>
      </c>
      <c r="G77" s="9" t="str">
        <f>IF($A77="","",1*'Material Costs'!$D$7)</f>
        <v/>
      </c>
      <c r="H77" s="9" t="str">
        <f>IF($A77="","",IF($C77="Bubble Mailer",1,0)*'Material Costs'!$D$5)</f>
        <v/>
      </c>
      <c r="I77" s="9" t="str">
        <f>IF($A77="","",IF($C77="ESE (Ding Defend)",1,0)*'Material Costs'!$D$4)</f>
        <v/>
      </c>
      <c r="J77" s="9"/>
      <c r="K77" s="9" t="str">
        <f t="shared" si="9"/>
        <v/>
      </c>
      <c r="L77" s="9"/>
      <c r="M77" s="9"/>
      <c r="N77" s="9"/>
      <c r="O77" s="9" t="str">
        <f t="shared" si="10"/>
        <v/>
      </c>
      <c r="P77" s="9"/>
      <c r="Q77" s="9" t="str">
        <f>IF($A77="","",IF($O77="", "", ROUND($O77*Settings!$B$2+Settings!$B$3,2)))</f>
        <v/>
      </c>
      <c r="R77" s="9" t="str">
        <f>IF($A77="","",IF($L77="", "", Settings!$B$4))</f>
        <v/>
      </c>
      <c r="S77" s="9" t="str">
        <f t="shared" si="11"/>
        <v/>
      </c>
      <c r="T77" s="9" t="str">
        <f t="shared" si="12"/>
        <v/>
      </c>
      <c r="U77" s="9" t="str">
        <f>IF($A77="","",IF($K77="", "", ROUND((($K77 + Settings!$B$3 + $R77) - IF($M77="",0,$M77))/(1-Settings!$B$2),2)))</f>
        <v/>
      </c>
      <c r="V77" s="9" t="str">
        <f>IF($A77="","",$L77-($L77*Settings!$B$2)-$J77-($B77+SUM($D77:$I77)))</f>
        <v/>
      </c>
      <c r="W77" s="9" t="str">
        <f>IF($A77="","",(($B77+SUM($D77:$I77)+$J77+Settings!$B$3)/(1-Settings!$B$2))-$M77)</f>
        <v/>
      </c>
      <c r="X77" s="10" t="str">
        <f t="shared" si="13"/>
        <v/>
      </c>
      <c r="Y77" s="10" t="str">
        <f t="shared" si="14"/>
        <v/>
      </c>
      <c r="Z77" s="10" t="str">
        <f t="shared" si="15"/>
        <v/>
      </c>
      <c r="AA77" s="10" t="str">
        <f t="shared" si="16"/>
        <v/>
      </c>
      <c r="AC77" s="11"/>
      <c r="AD77" s="11"/>
      <c r="AE77" s="12" t="str">
        <f t="shared" si="17"/>
        <v/>
      </c>
    </row>
    <row r="78" spans="2:31" x14ac:dyDescent="0.25">
      <c r="B78" s="9"/>
      <c r="C78" t="s">
        <v>31</v>
      </c>
      <c r="D78" s="9" t="str">
        <f>IF($A78="","",1*'Material Costs'!$D$3)</f>
        <v/>
      </c>
      <c r="E78" s="9" t="str">
        <f>IF($A78="","",1*'Material Costs'!$D$2)</f>
        <v/>
      </c>
      <c r="F78" s="9" t="str">
        <f>IF($A78="","",IF($C78="Bubble Mailer",2,1)*'Material Costs'!$D$6)</f>
        <v/>
      </c>
      <c r="G78" s="9" t="str">
        <f>IF($A78="","",1*'Material Costs'!$D$7)</f>
        <v/>
      </c>
      <c r="H78" s="9" t="str">
        <f>IF($A78="","",IF($C78="Bubble Mailer",1,0)*'Material Costs'!$D$5)</f>
        <v/>
      </c>
      <c r="I78" s="9" t="str">
        <f>IF($A78="","",IF($C78="ESE (Ding Defend)",1,0)*'Material Costs'!$D$4)</f>
        <v/>
      </c>
      <c r="J78" s="9"/>
      <c r="K78" s="9" t="str">
        <f t="shared" si="9"/>
        <v/>
      </c>
      <c r="L78" s="9"/>
      <c r="M78" s="9"/>
      <c r="N78" s="9"/>
      <c r="O78" s="9" t="str">
        <f t="shared" si="10"/>
        <v/>
      </c>
      <c r="P78" s="9"/>
      <c r="Q78" s="9" t="str">
        <f>IF($A78="","",IF($O78="", "", ROUND($O78*Settings!$B$2+Settings!$B$3,2)))</f>
        <v/>
      </c>
      <c r="R78" s="9" t="str">
        <f>IF($A78="","",IF($L78="", "", Settings!$B$4))</f>
        <v/>
      </c>
      <c r="S78" s="9" t="str">
        <f t="shared" si="11"/>
        <v/>
      </c>
      <c r="T78" s="9" t="str">
        <f t="shared" si="12"/>
        <v/>
      </c>
      <c r="U78" s="9" t="str">
        <f>IF($A78="","",IF($K78="", "", ROUND((($K78 + Settings!$B$3 + $R78) - IF($M78="",0,$M78))/(1-Settings!$B$2),2)))</f>
        <v/>
      </c>
      <c r="V78" s="9" t="str">
        <f>IF($A78="","",$L78-($L78*Settings!$B$2)-$J78-($B78+SUM($D78:$I78)))</f>
        <v/>
      </c>
      <c r="W78" s="9" t="str">
        <f>IF($A78="","",(($B78+SUM($D78:$I78)+$J78+Settings!$B$3)/(1-Settings!$B$2))-$M78)</f>
        <v/>
      </c>
      <c r="X78" s="10" t="str">
        <f t="shared" si="13"/>
        <v/>
      </c>
      <c r="Y78" s="10" t="str">
        <f t="shared" si="14"/>
        <v/>
      </c>
      <c r="Z78" s="10" t="str">
        <f t="shared" si="15"/>
        <v/>
      </c>
      <c r="AA78" s="10" t="str">
        <f t="shared" si="16"/>
        <v/>
      </c>
      <c r="AC78" s="11"/>
      <c r="AD78" s="11"/>
      <c r="AE78" s="12" t="str">
        <f t="shared" si="17"/>
        <v/>
      </c>
    </row>
    <row r="79" spans="2:31" x14ac:dyDescent="0.25">
      <c r="B79" s="9"/>
      <c r="C79" t="s">
        <v>31</v>
      </c>
      <c r="D79" s="9" t="str">
        <f>IF($A79="","",1*'Material Costs'!$D$3)</f>
        <v/>
      </c>
      <c r="E79" s="9" t="str">
        <f>IF($A79="","",1*'Material Costs'!$D$2)</f>
        <v/>
      </c>
      <c r="F79" s="9" t="str">
        <f>IF($A79="","",IF($C79="Bubble Mailer",2,1)*'Material Costs'!$D$6)</f>
        <v/>
      </c>
      <c r="G79" s="9" t="str">
        <f>IF($A79="","",1*'Material Costs'!$D$7)</f>
        <v/>
      </c>
      <c r="H79" s="9" t="str">
        <f>IF($A79="","",IF($C79="Bubble Mailer",1,0)*'Material Costs'!$D$5)</f>
        <v/>
      </c>
      <c r="I79" s="9" t="str">
        <f>IF($A79="","",IF($C79="ESE (Ding Defend)",1,0)*'Material Costs'!$D$4)</f>
        <v/>
      </c>
      <c r="J79" s="9"/>
      <c r="K79" s="9" t="str">
        <f t="shared" si="9"/>
        <v/>
      </c>
      <c r="L79" s="9"/>
      <c r="M79" s="9"/>
      <c r="N79" s="9"/>
      <c r="O79" s="9" t="str">
        <f t="shared" si="10"/>
        <v/>
      </c>
      <c r="P79" s="9"/>
      <c r="Q79" s="9" t="str">
        <f>IF($A79="","",IF($O79="", "", ROUND($O79*Settings!$B$2+Settings!$B$3,2)))</f>
        <v/>
      </c>
      <c r="R79" s="9" t="str">
        <f>IF($A79="","",IF($L79="", "", Settings!$B$4))</f>
        <v/>
      </c>
      <c r="S79" s="9" t="str">
        <f t="shared" si="11"/>
        <v/>
      </c>
      <c r="T79" s="9" t="str">
        <f t="shared" si="12"/>
        <v/>
      </c>
      <c r="U79" s="9" t="str">
        <f>IF($A79="","",IF($K79="", "", ROUND((($K79 + Settings!$B$3 + $R79) - IF($M79="",0,$M79))/(1-Settings!$B$2),2)))</f>
        <v/>
      </c>
      <c r="V79" s="9" t="str">
        <f>IF($A79="","",$L79-($L79*Settings!$B$2)-$J79-($B79+SUM($D79:$I79)))</f>
        <v/>
      </c>
      <c r="W79" s="9" t="str">
        <f>IF($A79="","",(($B79+SUM($D79:$I79)+$J79+Settings!$B$3)/(1-Settings!$B$2))-$M79)</f>
        <v/>
      </c>
      <c r="X79" s="10" t="str">
        <f t="shared" si="13"/>
        <v/>
      </c>
      <c r="Y79" s="10" t="str">
        <f t="shared" si="14"/>
        <v/>
      </c>
      <c r="Z79" s="10" t="str">
        <f t="shared" si="15"/>
        <v/>
      </c>
      <c r="AA79" s="10" t="str">
        <f t="shared" si="16"/>
        <v/>
      </c>
      <c r="AC79" s="11"/>
      <c r="AD79" s="11"/>
      <c r="AE79" s="12" t="str">
        <f t="shared" si="17"/>
        <v/>
      </c>
    </row>
    <row r="80" spans="2:31" x14ac:dyDescent="0.25">
      <c r="B80" s="9"/>
      <c r="C80" t="s">
        <v>31</v>
      </c>
      <c r="D80" s="9" t="str">
        <f>IF($A80="","",1*'Material Costs'!$D$3)</f>
        <v/>
      </c>
      <c r="E80" s="9" t="str">
        <f>IF($A80="","",1*'Material Costs'!$D$2)</f>
        <v/>
      </c>
      <c r="F80" s="9" t="str">
        <f>IF($A80="","",IF($C80="Bubble Mailer",2,1)*'Material Costs'!$D$6)</f>
        <v/>
      </c>
      <c r="G80" s="9" t="str">
        <f>IF($A80="","",1*'Material Costs'!$D$7)</f>
        <v/>
      </c>
      <c r="H80" s="9" t="str">
        <f>IF($A80="","",IF($C80="Bubble Mailer",1,0)*'Material Costs'!$D$5)</f>
        <v/>
      </c>
      <c r="I80" s="9" t="str">
        <f>IF($A80="","",IF($C80="ESE (Ding Defend)",1,0)*'Material Costs'!$D$4)</f>
        <v/>
      </c>
      <c r="J80" s="9"/>
      <c r="K80" s="9" t="str">
        <f t="shared" si="9"/>
        <v/>
      </c>
      <c r="L80" s="9"/>
      <c r="M80" s="9"/>
      <c r="N80" s="9"/>
      <c r="O80" s="9" t="str">
        <f t="shared" si="10"/>
        <v/>
      </c>
      <c r="P80" s="9"/>
      <c r="Q80" s="9" t="str">
        <f>IF($A80="","",IF($O80="", "", ROUND($O80*Settings!$B$2+Settings!$B$3,2)))</f>
        <v/>
      </c>
      <c r="R80" s="9" t="str">
        <f>IF($A80="","",IF($L80="", "", Settings!$B$4))</f>
        <v/>
      </c>
      <c r="S80" s="9" t="str">
        <f t="shared" si="11"/>
        <v/>
      </c>
      <c r="T80" s="9" t="str">
        <f t="shared" si="12"/>
        <v/>
      </c>
      <c r="U80" s="9" t="str">
        <f>IF($A80="","",IF($K80="", "", ROUND((($K80 + Settings!$B$3 + $R80) - IF($M80="",0,$M80))/(1-Settings!$B$2),2)))</f>
        <v/>
      </c>
      <c r="V80" s="9" t="str">
        <f>IF($A80="","",$L80-($L80*Settings!$B$2)-$J80-($B80+SUM($D80:$I80)))</f>
        <v/>
      </c>
      <c r="W80" s="9" t="str">
        <f>IF($A80="","",(($B80+SUM($D80:$I80)+$J80+Settings!$B$3)/(1-Settings!$B$2))-$M80)</f>
        <v/>
      </c>
      <c r="X80" s="10" t="str">
        <f t="shared" si="13"/>
        <v/>
      </c>
      <c r="Y80" s="10" t="str">
        <f t="shared" si="14"/>
        <v/>
      </c>
      <c r="Z80" s="10" t="str">
        <f t="shared" si="15"/>
        <v/>
      </c>
      <c r="AA80" s="10" t="str">
        <f t="shared" si="16"/>
        <v/>
      </c>
      <c r="AC80" s="11"/>
      <c r="AD80" s="11"/>
      <c r="AE80" s="12" t="str">
        <f t="shared" si="17"/>
        <v/>
      </c>
    </row>
    <row r="81" spans="2:31" x14ac:dyDescent="0.25">
      <c r="B81" s="9"/>
      <c r="C81" t="s">
        <v>31</v>
      </c>
      <c r="D81" s="9" t="str">
        <f>IF($A81="","",1*'Material Costs'!$D$3)</f>
        <v/>
      </c>
      <c r="E81" s="9" t="str">
        <f>IF($A81="","",1*'Material Costs'!$D$2)</f>
        <v/>
      </c>
      <c r="F81" s="9" t="str">
        <f>IF($A81="","",IF($C81="Bubble Mailer",2,1)*'Material Costs'!$D$6)</f>
        <v/>
      </c>
      <c r="G81" s="9" t="str">
        <f>IF($A81="","",1*'Material Costs'!$D$7)</f>
        <v/>
      </c>
      <c r="H81" s="9" t="str">
        <f>IF($A81="","",IF($C81="Bubble Mailer",1,0)*'Material Costs'!$D$5)</f>
        <v/>
      </c>
      <c r="I81" s="9" t="str">
        <f>IF($A81="","",IF($C81="ESE (Ding Defend)",1,0)*'Material Costs'!$D$4)</f>
        <v/>
      </c>
      <c r="J81" s="9"/>
      <c r="K81" s="9" t="str">
        <f t="shared" si="9"/>
        <v/>
      </c>
      <c r="L81" s="9"/>
      <c r="M81" s="9"/>
      <c r="N81" s="9"/>
      <c r="O81" s="9" t="str">
        <f t="shared" si="10"/>
        <v/>
      </c>
      <c r="P81" s="9"/>
      <c r="Q81" s="9" t="str">
        <f>IF($A81="","",IF($O81="", "", ROUND($O81*Settings!$B$2+Settings!$B$3,2)))</f>
        <v/>
      </c>
      <c r="R81" s="9" t="str">
        <f>IF($A81="","",IF($L81="", "", Settings!$B$4))</f>
        <v/>
      </c>
      <c r="S81" s="9" t="str">
        <f t="shared" si="11"/>
        <v/>
      </c>
      <c r="T81" s="9" t="str">
        <f t="shared" si="12"/>
        <v/>
      </c>
      <c r="U81" s="9" t="str">
        <f>IF($A81="","",IF($K81="", "", ROUND((($K81 + Settings!$B$3 + $R81) - IF($M81="",0,$M81))/(1-Settings!$B$2),2)))</f>
        <v/>
      </c>
      <c r="V81" s="9" t="str">
        <f>IF($A81="","",$L81-($L81*Settings!$B$2)-$J81-($B81+SUM($D81:$I81)))</f>
        <v/>
      </c>
      <c r="W81" s="9" t="str">
        <f>IF($A81="","",(($B81+SUM($D81:$I81)+$J81+Settings!$B$3)/(1-Settings!$B$2))-$M81)</f>
        <v/>
      </c>
      <c r="X81" s="10" t="str">
        <f t="shared" si="13"/>
        <v/>
      </c>
      <c r="Y81" s="10" t="str">
        <f t="shared" si="14"/>
        <v/>
      </c>
      <c r="Z81" s="10" t="str">
        <f t="shared" si="15"/>
        <v/>
      </c>
      <c r="AA81" s="10" t="str">
        <f t="shared" si="16"/>
        <v/>
      </c>
      <c r="AC81" s="11"/>
      <c r="AD81" s="11"/>
      <c r="AE81" s="12" t="str">
        <f t="shared" si="17"/>
        <v/>
      </c>
    </row>
    <row r="82" spans="2:31" x14ac:dyDescent="0.25">
      <c r="B82" s="9"/>
      <c r="C82" t="s">
        <v>31</v>
      </c>
      <c r="D82" s="9" t="str">
        <f>IF($A82="","",1*'Material Costs'!$D$3)</f>
        <v/>
      </c>
      <c r="E82" s="9" t="str">
        <f>IF($A82="","",1*'Material Costs'!$D$2)</f>
        <v/>
      </c>
      <c r="F82" s="9" t="str">
        <f>IF($A82="","",IF($C82="Bubble Mailer",2,1)*'Material Costs'!$D$6)</f>
        <v/>
      </c>
      <c r="G82" s="9" t="str">
        <f>IF($A82="","",1*'Material Costs'!$D$7)</f>
        <v/>
      </c>
      <c r="H82" s="9" t="str">
        <f>IF($A82="","",IF($C82="Bubble Mailer",1,0)*'Material Costs'!$D$5)</f>
        <v/>
      </c>
      <c r="I82" s="9" t="str">
        <f>IF($A82="","",IF($C82="ESE (Ding Defend)",1,0)*'Material Costs'!$D$4)</f>
        <v/>
      </c>
      <c r="J82" s="9"/>
      <c r="K82" s="9" t="str">
        <f t="shared" si="9"/>
        <v/>
      </c>
      <c r="L82" s="9"/>
      <c r="M82" s="9"/>
      <c r="N82" s="9"/>
      <c r="O82" s="9" t="str">
        <f t="shared" si="10"/>
        <v/>
      </c>
      <c r="P82" s="9"/>
      <c r="Q82" s="9" t="str">
        <f>IF($A82="","",IF($O82="", "", ROUND($O82*Settings!$B$2+Settings!$B$3,2)))</f>
        <v/>
      </c>
      <c r="R82" s="9" t="str">
        <f>IF($A82="","",IF($L82="", "", Settings!$B$4))</f>
        <v/>
      </c>
      <c r="S82" s="9" t="str">
        <f t="shared" si="11"/>
        <v/>
      </c>
      <c r="T82" s="9" t="str">
        <f t="shared" si="12"/>
        <v/>
      </c>
      <c r="U82" s="9" t="str">
        <f>IF($A82="","",IF($K82="", "", ROUND((($K82 + Settings!$B$3 + $R82) - IF($M82="",0,$M82))/(1-Settings!$B$2),2)))</f>
        <v/>
      </c>
      <c r="V82" s="9" t="str">
        <f>IF($A82="","",$L82-($L82*Settings!$B$2)-$J82-($B82+SUM($D82:$I82)))</f>
        <v/>
      </c>
      <c r="W82" s="9" t="str">
        <f>IF($A82="","",(($B82+SUM($D82:$I82)+$J82+Settings!$B$3)/(1-Settings!$B$2))-$M82)</f>
        <v/>
      </c>
      <c r="X82" s="10" t="str">
        <f t="shared" si="13"/>
        <v/>
      </c>
      <c r="Y82" s="10" t="str">
        <f t="shared" si="14"/>
        <v/>
      </c>
      <c r="Z82" s="10" t="str">
        <f t="shared" si="15"/>
        <v/>
      </c>
      <c r="AA82" s="10" t="str">
        <f t="shared" si="16"/>
        <v/>
      </c>
      <c r="AC82" s="11"/>
      <c r="AD82" s="11"/>
      <c r="AE82" s="12" t="str">
        <f t="shared" si="17"/>
        <v/>
      </c>
    </row>
    <row r="83" spans="2:31" x14ac:dyDescent="0.25">
      <c r="B83" s="9"/>
      <c r="C83" t="s">
        <v>31</v>
      </c>
      <c r="D83" s="9" t="str">
        <f>IF($A83="","",1*'Material Costs'!$D$3)</f>
        <v/>
      </c>
      <c r="E83" s="9" t="str">
        <f>IF($A83="","",1*'Material Costs'!$D$2)</f>
        <v/>
      </c>
      <c r="F83" s="9" t="str">
        <f>IF($A83="","",IF($C83="Bubble Mailer",2,1)*'Material Costs'!$D$6)</f>
        <v/>
      </c>
      <c r="G83" s="9" t="str">
        <f>IF($A83="","",1*'Material Costs'!$D$7)</f>
        <v/>
      </c>
      <c r="H83" s="9" t="str">
        <f>IF($A83="","",IF($C83="Bubble Mailer",1,0)*'Material Costs'!$D$5)</f>
        <v/>
      </c>
      <c r="I83" s="9" t="str">
        <f>IF($A83="","",IF($C83="ESE (Ding Defend)",1,0)*'Material Costs'!$D$4)</f>
        <v/>
      </c>
      <c r="J83" s="9"/>
      <c r="K83" s="9" t="str">
        <f t="shared" si="9"/>
        <v/>
      </c>
      <c r="L83" s="9"/>
      <c r="M83" s="9"/>
      <c r="N83" s="9"/>
      <c r="O83" s="9" t="str">
        <f t="shared" si="10"/>
        <v/>
      </c>
      <c r="P83" s="9"/>
      <c r="Q83" s="9" t="str">
        <f>IF($A83="","",IF($O83="", "", ROUND($O83*Settings!$B$2+Settings!$B$3,2)))</f>
        <v/>
      </c>
      <c r="R83" s="9" t="str">
        <f>IF($A83="","",IF($L83="", "", Settings!$B$4))</f>
        <v/>
      </c>
      <c r="S83" s="9" t="str">
        <f t="shared" si="11"/>
        <v/>
      </c>
      <c r="T83" s="9" t="str">
        <f t="shared" si="12"/>
        <v/>
      </c>
      <c r="U83" s="9" t="str">
        <f>IF($A83="","",IF($K83="", "", ROUND((($K83 + Settings!$B$3 + $R83) - IF($M83="",0,$M83))/(1-Settings!$B$2),2)))</f>
        <v/>
      </c>
      <c r="V83" s="9" t="str">
        <f>IF($A83="","",$L83-($L83*Settings!$B$2)-$J83-($B83+SUM($D83:$I83)))</f>
        <v/>
      </c>
      <c r="W83" s="9" t="str">
        <f>IF($A83="","",(($B83+SUM($D83:$I83)+$J83+Settings!$B$3)/(1-Settings!$B$2))-$M83)</f>
        <v/>
      </c>
      <c r="X83" s="10" t="str">
        <f t="shared" si="13"/>
        <v/>
      </c>
      <c r="Y83" s="10" t="str">
        <f t="shared" si="14"/>
        <v/>
      </c>
      <c r="Z83" s="10" t="str">
        <f t="shared" si="15"/>
        <v/>
      </c>
      <c r="AA83" s="10" t="str">
        <f t="shared" si="16"/>
        <v/>
      </c>
      <c r="AC83" s="11"/>
      <c r="AD83" s="11"/>
      <c r="AE83" s="12" t="str">
        <f t="shared" si="17"/>
        <v/>
      </c>
    </row>
    <row r="84" spans="2:31" x14ac:dyDescent="0.25">
      <c r="B84" s="9"/>
      <c r="C84" t="s">
        <v>31</v>
      </c>
      <c r="D84" s="9" t="str">
        <f>IF($A84="","",1*'Material Costs'!$D$3)</f>
        <v/>
      </c>
      <c r="E84" s="9" t="str">
        <f>IF($A84="","",1*'Material Costs'!$D$2)</f>
        <v/>
      </c>
      <c r="F84" s="9" t="str">
        <f>IF($A84="","",IF($C84="Bubble Mailer",2,1)*'Material Costs'!$D$6)</f>
        <v/>
      </c>
      <c r="G84" s="9" t="str">
        <f>IF($A84="","",1*'Material Costs'!$D$7)</f>
        <v/>
      </c>
      <c r="H84" s="9" t="str">
        <f>IF($A84="","",IF($C84="Bubble Mailer",1,0)*'Material Costs'!$D$5)</f>
        <v/>
      </c>
      <c r="I84" s="9" t="str">
        <f>IF($A84="","",IF($C84="ESE (Ding Defend)",1,0)*'Material Costs'!$D$4)</f>
        <v/>
      </c>
      <c r="J84" s="9"/>
      <c r="K84" s="9" t="str">
        <f t="shared" si="9"/>
        <v/>
      </c>
      <c r="L84" s="9"/>
      <c r="M84" s="9"/>
      <c r="N84" s="9"/>
      <c r="O84" s="9" t="str">
        <f t="shared" si="10"/>
        <v/>
      </c>
      <c r="P84" s="9"/>
      <c r="Q84" s="9" t="str">
        <f>IF($A84="","",IF($O84="", "", ROUND($O84*Settings!$B$2+Settings!$B$3,2)))</f>
        <v/>
      </c>
      <c r="R84" s="9" t="str">
        <f>IF($A84="","",IF($L84="", "", Settings!$B$4))</f>
        <v/>
      </c>
      <c r="S84" s="9" t="str">
        <f t="shared" si="11"/>
        <v/>
      </c>
      <c r="T84" s="9" t="str">
        <f t="shared" si="12"/>
        <v/>
      </c>
      <c r="U84" s="9" t="str">
        <f>IF($A84="","",IF($K84="", "", ROUND((($K84 + Settings!$B$3 + $R84) - IF($M84="",0,$M84))/(1-Settings!$B$2),2)))</f>
        <v/>
      </c>
      <c r="V84" s="9" t="str">
        <f>IF($A84="","",$L84-($L84*Settings!$B$2)-$J84-($B84+SUM($D84:$I84)))</f>
        <v/>
      </c>
      <c r="W84" s="9" t="str">
        <f>IF($A84="","",(($B84+SUM($D84:$I84)+$J84+Settings!$B$3)/(1-Settings!$B$2))-$M84)</f>
        <v/>
      </c>
      <c r="X84" s="10" t="str">
        <f t="shared" si="13"/>
        <v/>
      </c>
      <c r="Y84" s="10" t="str">
        <f t="shared" si="14"/>
        <v/>
      </c>
      <c r="Z84" s="10" t="str">
        <f t="shared" si="15"/>
        <v/>
      </c>
      <c r="AA84" s="10" t="str">
        <f t="shared" si="16"/>
        <v/>
      </c>
      <c r="AC84" s="11"/>
      <c r="AD84" s="11"/>
      <c r="AE84" s="12" t="str">
        <f t="shared" si="17"/>
        <v/>
      </c>
    </row>
    <row r="85" spans="2:31" x14ac:dyDescent="0.25">
      <c r="B85" s="9"/>
      <c r="C85" t="s">
        <v>31</v>
      </c>
      <c r="D85" s="9" t="str">
        <f>IF($A85="","",1*'Material Costs'!$D$3)</f>
        <v/>
      </c>
      <c r="E85" s="9" t="str">
        <f>IF($A85="","",1*'Material Costs'!$D$2)</f>
        <v/>
      </c>
      <c r="F85" s="9" t="str">
        <f>IF($A85="","",IF($C85="Bubble Mailer",2,1)*'Material Costs'!$D$6)</f>
        <v/>
      </c>
      <c r="G85" s="9" t="str">
        <f>IF($A85="","",1*'Material Costs'!$D$7)</f>
        <v/>
      </c>
      <c r="H85" s="9" t="str">
        <f>IF($A85="","",IF($C85="Bubble Mailer",1,0)*'Material Costs'!$D$5)</f>
        <v/>
      </c>
      <c r="I85" s="9" t="str">
        <f>IF($A85="","",IF($C85="ESE (Ding Defend)",1,0)*'Material Costs'!$D$4)</f>
        <v/>
      </c>
      <c r="J85" s="9"/>
      <c r="K85" s="9" t="str">
        <f t="shared" si="9"/>
        <v/>
      </c>
      <c r="L85" s="9"/>
      <c r="M85" s="9"/>
      <c r="N85" s="9"/>
      <c r="O85" s="9" t="str">
        <f t="shared" si="10"/>
        <v/>
      </c>
      <c r="P85" s="9"/>
      <c r="Q85" s="9" t="str">
        <f>IF($A85="","",IF($O85="", "", ROUND($O85*Settings!$B$2+Settings!$B$3,2)))</f>
        <v/>
      </c>
      <c r="R85" s="9" t="str">
        <f>IF($A85="","",IF($L85="", "", Settings!$B$4))</f>
        <v/>
      </c>
      <c r="S85" s="9" t="str">
        <f t="shared" si="11"/>
        <v/>
      </c>
      <c r="T85" s="9" t="str">
        <f t="shared" si="12"/>
        <v/>
      </c>
      <c r="U85" s="9" t="str">
        <f>IF($A85="","",IF($K85="", "", ROUND((($K85 + Settings!$B$3 + $R85) - IF($M85="",0,$M85))/(1-Settings!$B$2),2)))</f>
        <v/>
      </c>
      <c r="V85" s="9" t="str">
        <f>IF($A85="","",$L85-($L85*Settings!$B$2)-$J85-($B85+SUM($D85:$I85)))</f>
        <v/>
      </c>
      <c r="W85" s="9" t="str">
        <f>IF($A85="","",(($B85+SUM($D85:$I85)+$J85+Settings!$B$3)/(1-Settings!$B$2))-$M85)</f>
        <v/>
      </c>
      <c r="X85" s="10" t="str">
        <f t="shared" si="13"/>
        <v/>
      </c>
      <c r="Y85" s="10" t="str">
        <f t="shared" si="14"/>
        <v/>
      </c>
      <c r="Z85" s="10" t="str">
        <f t="shared" si="15"/>
        <v/>
      </c>
      <c r="AA85" s="10" t="str">
        <f t="shared" si="16"/>
        <v/>
      </c>
      <c r="AC85" s="11"/>
      <c r="AD85" s="11"/>
      <c r="AE85" s="12" t="str">
        <f t="shared" si="17"/>
        <v/>
      </c>
    </row>
    <row r="86" spans="2:31" x14ac:dyDescent="0.25">
      <c r="B86" s="9"/>
      <c r="C86" t="s">
        <v>31</v>
      </c>
      <c r="D86" s="9" t="str">
        <f>IF($A86="","",1*'Material Costs'!$D$3)</f>
        <v/>
      </c>
      <c r="E86" s="9" t="str">
        <f>IF($A86="","",1*'Material Costs'!$D$2)</f>
        <v/>
      </c>
      <c r="F86" s="9" t="str">
        <f>IF($A86="","",IF($C86="Bubble Mailer",2,1)*'Material Costs'!$D$6)</f>
        <v/>
      </c>
      <c r="G86" s="9" t="str">
        <f>IF($A86="","",1*'Material Costs'!$D$7)</f>
        <v/>
      </c>
      <c r="H86" s="9" t="str">
        <f>IF($A86="","",IF($C86="Bubble Mailer",1,0)*'Material Costs'!$D$5)</f>
        <v/>
      </c>
      <c r="I86" s="9" t="str">
        <f>IF($A86="","",IF($C86="ESE (Ding Defend)",1,0)*'Material Costs'!$D$4)</f>
        <v/>
      </c>
      <c r="J86" s="9"/>
      <c r="K86" s="9" t="str">
        <f t="shared" si="9"/>
        <v/>
      </c>
      <c r="L86" s="9"/>
      <c r="M86" s="9"/>
      <c r="N86" s="9"/>
      <c r="O86" s="9" t="str">
        <f t="shared" si="10"/>
        <v/>
      </c>
      <c r="P86" s="9"/>
      <c r="Q86" s="9" t="str">
        <f>IF($A86="","",IF($O86="", "", ROUND($O86*Settings!$B$2+Settings!$B$3,2)))</f>
        <v/>
      </c>
      <c r="R86" s="9" t="str">
        <f>IF($A86="","",IF($L86="", "", Settings!$B$4))</f>
        <v/>
      </c>
      <c r="S86" s="9" t="str">
        <f t="shared" si="11"/>
        <v/>
      </c>
      <c r="T86" s="9" t="str">
        <f t="shared" si="12"/>
        <v/>
      </c>
      <c r="U86" s="9" t="str">
        <f>IF($A86="","",IF($K86="", "", ROUND((($K86 + Settings!$B$3 + $R86) - IF($M86="",0,$M86))/(1-Settings!$B$2),2)))</f>
        <v/>
      </c>
      <c r="V86" s="9" t="str">
        <f>IF($A86="","",$L86-($L86*Settings!$B$2)-$J86-($B86+SUM($D86:$I86)))</f>
        <v/>
      </c>
      <c r="W86" s="9" t="str">
        <f>IF($A86="","",(($B86+SUM($D86:$I86)+$J86+Settings!$B$3)/(1-Settings!$B$2))-$M86)</f>
        <v/>
      </c>
      <c r="X86" s="10" t="str">
        <f t="shared" si="13"/>
        <v/>
      </c>
      <c r="Y86" s="10" t="str">
        <f t="shared" si="14"/>
        <v/>
      </c>
      <c r="Z86" s="10" t="str">
        <f t="shared" si="15"/>
        <v/>
      </c>
      <c r="AA86" s="10" t="str">
        <f t="shared" si="16"/>
        <v/>
      </c>
      <c r="AC86" s="11"/>
      <c r="AD86" s="11"/>
      <c r="AE86" s="12" t="str">
        <f t="shared" si="17"/>
        <v/>
      </c>
    </row>
    <row r="87" spans="2:31" x14ac:dyDescent="0.25">
      <c r="B87" s="9"/>
      <c r="C87" t="s">
        <v>31</v>
      </c>
      <c r="D87" s="9" t="str">
        <f>IF($A87="","",1*'Material Costs'!$D$3)</f>
        <v/>
      </c>
      <c r="E87" s="9" t="str">
        <f>IF($A87="","",1*'Material Costs'!$D$2)</f>
        <v/>
      </c>
      <c r="F87" s="9" t="str">
        <f>IF($A87="","",IF($C87="Bubble Mailer",2,1)*'Material Costs'!$D$6)</f>
        <v/>
      </c>
      <c r="G87" s="9" t="str">
        <f>IF($A87="","",1*'Material Costs'!$D$7)</f>
        <v/>
      </c>
      <c r="H87" s="9" t="str">
        <f>IF($A87="","",IF($C87="Bubble Mailer",1,0)*'Material Costs'!$D$5)</f>
        <v/>
      </c>
      <c r="I87" s="9" t="str">
        <f>IF($A87="","",IF($C87="ESE (Ding Defend)",1,0)*'Material Costs'!$D$4)</f>
        <v/>
      </c>
      <c r="J87" s="9"/>
      <c r="K87" s="9" t="str">
        <f t="shared" si="9"/>
        <v/>
      </c>
      <c r="L87" s="9"/>
      <c r="M87" s="9"/>
      <c r="N87" s="9"/>
      <c r="O87" s="9" t="str">
        <f t="shared" si="10"/>
        <v/>
      </c>
      <c r="P87" s="9"/>
      <c r="Q87" s="9" t="str">
        <f>IF($A87="","",IF($O87="", "", ROUND($O87*Settings!$B$2+Settings!$B$3,2)))</f>
        <v/>
      </c>
      <c r="R87" s="9" t="str">
        <f>IF($A87="","",IF($L87="", "", Settings!$B$4))</f>
        <v/>
      </c>
      <c r="S87" s="9" t="str">
        <f t="shared" si="11"/>
        <v/>
      </c>
      <c r="T87" s="9" t="str">
        <f t="shared" si="12"/>
        <v/>
      </c>
      <c r="U87" s="9" t="str">
        <f>IF($A87="","",IF($K87="", "", ROUND((($K87 + Settings!$B$3 + $R87) - IF($M87="",0,$M87))/(1-Settings!$B$2),2)))</f>
        <v/>
      </c>
      <c r="V87" s="9" t="str">
        <f>IF($A87="","",$L87-($L87*Settings!$B$2)-$J87-($B87+SUM($D87:$I87)))</f>
        <v/>
      </c>
      <c r="W87" s="9" t="str">
        <f>IF($A87="","",(($B87+SUM($D87:$I87)+$J87+Settings!$B$3)/(1-Settings!$B$2))-$M87)</f>
        <v/>
      </c>
      <c r="X87" s="10" t="str">
        <f t="shared" si="13"/>
        <v/>
      </c>
      <c r="Y87" s="10" t="str">
        <f t="shared" si="14"/>
        <v/>
      </c>
      <c r="Z87" s="10" t="str">
        <f t="shared" si="15"/>
        <v/>
      </c>
      <c r="AA87" s="10" t="str">
        <f t="shared" si="16"/>
        <v/>
      </c>
      <c r="AC87" s="11"/>
      <c r="AD87" s="11"/>
      <c r="AE87" s="12" t="str">
        <f t="shared" si="17"/>
        <v/>
      </c>
    </row>
    <row r="88" spans="2:31" x14ac:dyDescent="0.25">
      <c r="B88" s="9"/>
      <c r="C88" t="s">
        <v>31</v>
      </c>
      <c r="D88" s="9" t="str">
        <f>IF($A88="","",1*'Material Costs'!$D$3)</f>
        <v/>
      </c>
      <c r="E88" s="9" t="str">
        <f>IF($A88="","",1*'Material Costs'!$D$2)</f>
        <v/>
      </c>
      <c r="F88" s="9" t="str">
        <f>IF($A88="","",IF($C88="Bubble Mailer",2,1)*'Material Costs'!$D$6)</f>
        <v/>
      </c>
      <c r="G88" s="9" t="str">
        <f>IF($A88="","",1*'Material Costs'!$D$7)</f>
        <v/>
      </c>
      <c r="H88" s="9" t="str">
        <f>IF($A88="","",IF($C88="Bubble Mailer",1,0)*'Material Costs'!$D$5)</f>
        <v/>
      </c>
      <c r="I88" s="9" t="str">
        <f>IF($A88="","",IF($C88="ESE (Ding Defend)",1,0)*'Material Costs'!$D$4)</f>
        <v/>
      </c>
      <c r="J88" s="9"/>
      <c r="K88" s="9" t="str">
        <f t="shared" si="9"/>
        <v/>
      </c>
      <c r="L88" s="9"/>
      <c r="M88" s="9"/>
      <c r="N88" s="9"/>
      <c r="O88" s="9" t="str">
        <f t="shared" si="10"/>
        <v/>
      </c>
      <c r="P88" s="9"/>
      <c r="Q88" s="9" t="str">
        <f>IF($A88="","",IF($O88="", "", ROUND($O88*Settings!$B$2+Settings!$B$3,2)))</f>
        <v/>
      </c>
      <c r="R88" s="9" t="str">
        <f>IF($A88="","",IF($L88="", "", Settings!$B$4))</f>
        <v/>
      </c>
      <c r="S88" s="9" t="str">
        <f t="shared" si="11"/>
        <v/>
      </c>
      <c r="T88" s="9" t="str">
        <f t="shared" si="12"/>
        <v/>
      </c>
      <c r="U88" s="9" t="str">
        <f>IF($A88="","",IF($K88="", "", ROUND((($K88 + Settings!$B$3 + $R88) - IF($M88="",0,$M88))/(1-Settings!$B$2),2)))</f>
        <v/>
      </c>
      <c r="V88" s="9" t="str">
        <f>IF($A88="","",$L88-($L88*Settings!$B$2)-$J88-($B88+SUM($D88:$I88)))</f>
        <v/>
      </c>
      <c r="W88" s="9" t="str">
        <f>IF($A88="","",(($B88+SUM($D88:$I88)+$J88+Settings!$B$3)/(1-Settings!$B$2))-$M88)</f>
        <v/>
      </c>
      <c r="X88" s="10" t="str">
        <f t="shared" si="13"/>
        <v/>
      </c>
      <c r="Y88" s="10" t="str">
        <f t="shared" si="14"/>
        <v/>
      </c>
      <c r="Z88" s="10" t="str">
        <f t="shared" si="15"/>
        <v/>
      </c>
      <c r="AA88" s="10" t="str">
        <f t="shared" si="16"/>
        <v/>
      </c>
      <c r="AC88" s="11"/>
      <c r="AD88" s="11"/>
      <c r="AE88" s="12" t="str">
        <f t="shared" si="17"/>
        <v/>
      </c>
    </row>
    <row r="89" spans="2:31" x14ac:dyDescent="0.25">
      <c r="B89" s="9"/>
      <c r="C89" t="s">
        <v>31</v>
      </c>
      <c r="D89" s="9" t="str">
        <f>IF($A89="","",1*'Material Costs'!$D$3)</f>
        <v/>
      </c>
      <c r="E89" s="9" t="str">
        <f>IF($A89="","",1*'Material Costs'!$D$2)</f>
        <v/>
      </c>
      <c r="F89" s="9" t="str">
        <f>IF($A89="","",IF($C89="Bubble Mailer",2,1)*'Material Costs'!$D$6)</f>
        <v/>
      </c>
      <c r="G89" s="9" t="str">
        <f>IF($A89="","",1*'Material Costs'!$D$7)</f>
        <v/>
      </c>
      <c r="H89" s="9" t="str">
        <f>IF($A89="","",IF($C89="Bubble Mailer",1,0)*'Material Costs'!$D$5)</f>
        <v/>
      </c>
      <c r="I89" s="9" t="str">
        <f>IF($A89="","",IF($C89="ESE (Ding Defend)",1,0)*'Material Costs'!$D$4)</f>
        <v/>
      </c>
      <c r="J89" s="9"/>
      <c r="K89" s="9" t="str">
        <f t="shared" si="9"/>
        <v/>
      </c>
      <c r="L89" s="9"/>
      <c r="M89" s="9"/>
      <c r="N89" s="9"/>
      <c r="O89" s="9" t="str">
        <f t="shared" si="10"/>
        <v/>
      </c>
      <c r="P89" s="9"/>
      <c r="Q89" s="9" t="str">
        <f>IF($A89="","",IF($O89="", "", ROUND($O89*Settings!$B$2+Settings!$B$3,2)))</f>
        <v/>
      </c>
      <c r="R89" s="9" t="str">
        <f>IF($A89="","",IF($L89="", "", Settings!$B$4))</f>
        <v/>
      </c>
      <c r="S89" s="9" t="str">
        <f t="shared" si="11"/>
        <v/>
      </c>
      <c r="T89" s="9" t="str">
        <f t="shared" si="12"/>
        <v/>
      </c>
      <c r="U89" s="9" t="str">
        <f>IF($A89="","",IF($K89="", "", ROUND((($K89 + Settings!$B$3 + $R89) - IF($M89="",0,$M89))/(1-Settings!$B$2),2)))</f>
        <v/>
      </c>
      <c r="V89" s="9" t="str">
        <f>IF($A89="","",$L89-($L89*Settings!$B$2)-$J89-($B89+SUM($D89:$I89)))</f>
        <v/>
      </c>
      <c r="W89" s="9" t="str">
        <f>IF($A89="","",(($B89+SUM($D89:$I89)+$J89+Settings!$B$3)/(1-Settings!$B$2))-$M89)</f>
        <v/>
      </c>
      <c r="X89" s="10" t="str">
        <f t="shared" si="13"/>
        <v/>
      </c>
      <c r="Y89" s="10" t="str">
        <f t="shared" si="14"/>
        <v/>
      </c>
      <c r="Z89" s="10" t="str">
        <f t="shared" si="15"/>
        <v/>
      </c>
      <c r="AA89" s="10" t="str">
        <f t="shared" si="16"/>
        <v/>
      </c>
      <c r="AC89" s="11"/>
      <c r="AD89" s="11"/>
      <c r="AE89" s="12" t="str">
        <f t="shared" si="17"/>
        <v/>
      </c>
    </row>
    <row r="90" spans="2:31" x14ac:dyDescent="0.25">
      <c r="B90" s="9"/>
      <c r="C90" t="s">
        <v>31</v>
      </c>
      <c r="D90" s="9" t="str">
        <f>IF($A90="","",1*'Material Costs'!$D$3)</f>
        <v/>
      </c>
      <c r="E90" s="9" t="str">
        <f>IF($A90="","",1*'Material Costs'!$D$2)</f>
        <v/>
      </c>
      <c r="F90" s="9" t="str">
        <f>IF($A90="","",IF($C90="Bubble Mailer",2,1)*'Material Costs'!$D$6)</f>
        <v/>
      </c>
      <c r="G90" s="9" t="str">
        <f>IF($A90="","",1*'Material Costs'!$D$7)</f>
        <v/>
      </c>
      <c r="H90" s="9" t="str">
        <f>IF($A90="","",IF($C90="Bubble Mailer",1,0)*'Material Costs'!$D$5)</f>
        <v/>
      </c>
      <c r="I90" s="9" t="str">
        <f>IF($A90="","",IF($C90="ESE (Ding Defend)",1,0)*'Material Costs'!$D$4)</f>
        <v/>
      </c>
      <c r="J90" s="9"/>
      <c r="K90" s="9" t="str">
        <f t="shared" si="9"/>
        <v/>
      </c>
      <c r="L90" s="9"/>
      <c r="M90" s="9"/>
      <c r="N90" s="9"/>
      <c r="O90" s="9" t="str">
        <f t="shared" si="10"/>
        <v/>
      </c>
      <c r="P90" s="9"/>
      <c r="Q90" s="9" t="str">
        <f>IF($A90="","",IF($O90="", "", ROUND($O90*Settings!$B$2+Settings!$B$3,2)))</f>
        <v/>
      </c>
      <c r="R90" s="9" t="str">
        <f>IF($A90="","",IF($L90="", "", Settings!$B$4))</f>
        <v/>
      </c>
      <c r="S90" s="9" t="str">
        <f t="shared" si="11"/>
        <v/>
      </c>
      <c r="T90" s="9" t="str">
        <f t="shared" si="12"/>
        <v/>
      </c>
      <c r="U90" s="9" t="str">
        <f>IF($A90="","",IF($K90="", "", ROUND((($K90 + Settings!$B$3 + $R90) - IF($M90="",0,$M90))/(1-Settings!$B$2),2)))</f>
        <v/>
      </c>
      <c r="V90" s="9" t="str">
        <f>IF($A90="","",$L90-($L90*Settings!$B$2)-$J90-($B90+SUM($D90:$I90)))</f>
        <v/>
      </c>
      <c r="W90" s="9" t="str">
        <f>IF($A90="","",(($B90+SUM($D90:$I90)+$J90+Settings!$B$3)/(1-Settings!$B$2))-$M90)</f>
        <v/>
      </c>
      <c r="X90" s="10" t="str">
        <f t="shared" si="13"/>
        <v/>
      </c>
      <c r="Y90" s="10" t="str">
        <f t="shared" si="14"/>
        <v/>
      </c>
      <c r="Z90" s="10" t="str">
        <f t="shared" si="15"/>
        <v/>
      </c>
      <c r="AA90" s="10" t="str">
        <f t="shared" si="16"/>
        <v/>
      </c>
      <c r="AC90" s="11"/>
      <c r="AD90" s="11"/>
      <c r="AE90" s="12" t="str">
        <f t="shared" si="17"/>
        <v/>
      </c>
    </row>
    <row r="91" spans="2:31" x14ac:dyDescent="0.25">
      <c r="B91" s="9"/>
      <c r="C91" t="s">
        <v>31</v>
      </c>
      <c r="D91" s="9" t="str">
        <f>IF($A91="","",1*'Material Costs'!$D$3)</f>
        <v/>
      </c>
      <c r="E91" s="9" t="str">
        <f>IF($A91="","",1*'Material Costs'!$D$2)</f>
        <v/>
      </c>
      <c r="F91" s="9" t="str">
        <f>IF($A91="","",IF($C91="Bubble Mailer",2,1)*'Material Costs'!$D$6)</f>
        <v/>
      </c>
      <c r="G91" s="9" t="str">
        <f>IF($A91="","",1*'Material Costs'!$D$7)</f>
        <v/>
      </c>
      <c r="H91" s="9" t="str">
        <f>IF($A91="","",IF($C91="Bubble Mailer",1,0)*'Material Costs'!$D$5)</f>
        <v/>
      </c>
      <c r="I91" s="9" t="str">
        <f>IF($A91="","",IF($C91="ESE (Ding Defend)",1,0)*'Material Costs'!$D$4)</f>
        <v/>
      </c>
      <c r="J91" s="9"/>
      <c r="K91" s="9" t="str">
        <f t="shared" si="9"/>
        <v/>
      </c>
      <c r="L91" s="9"/>
      <c r="M91" s="9"/>
      <c r="N91" s="9"/>
      <c r="O91" s="9" t="str">
        <f t="shared" si="10"/>
        <v/>
      </c>
      <c r="P91" s="9"/>
      <c r="Q91" s="9" t="str">
        <f>IF($A91="","",IF($O91="", "", ROUND($O91*Settings!$B$2+Settings!$B$3,2)))</f>
        <v/>
      </c>
      <c r="R91" s="9" t="str">
        <f>IF($A91="","",IF($L91="", "", Settings!$B$4))</f>
        <v/>
      </c>
      <c r="S91" s="9" t="str">
        <f t="shared" si="11"/>
        <v/>
      </c>
      <c r="T91" s="9" t="str">
        <f t="shared" si="12"/>
        <v/>
      </c>
      <c r="U91" s="9" t="str">
        <f>IF($A91="","",IF($K91="", "", ROUND((($K91 + Settings!$B$3 + $R91) - IF($M91="",0,$M91))/(1-Settings!$B$2),2)))</f>
        <v/>
      </c>
      <c r="V91" s="9" t="str">
        <f>IF($A91="","",$L91-($L91*Settings!$B$2)-$J91-($B91+SUM($D91:$I91)))</f>
        <v/>
      </c>
      <c r="W91" s="9" t="str">
        <f>IF($A91="","",(($B91+SUM($D91:$I91)+$J91+Settings!$B$3)/(1-Settings!$B$2))-$M91)</f>
        <v/>
      </c>
      <c r="X91" s="10" t="str">
        <f t="shared" si="13"/>
        <v/>
      </c>
      <c r="Y91" s="10" t="str">
        <f t="shared" si="14"/>
        <v/>
      </c>
      <c r="Z91" s="10" t="str">
        <f t="shared" si="15"/>
        <v/>
      </c>
      <c r="AA91" s="10" t="str">
        <f t="shared" si="16"/>
        <v/>
      </c>
      <c r="AC91" s="11"/>
      <c r="AD91" s="11"/>
      <c r="AE91" s="12" t="str">
        <f t="shared" si="17"/>
        <v/>
      </c>
    </row>
    <row r="92" spans="2:31" x14ac:dyDescent="0.25">
      <c r="B92" s="9"/>
      <c r="C92" t="s">
        <v>31</v>
      </c>
      <c r="D92" s="9" t="str">
        <f>IF($A92="","",1*'Material Costs'!$D$3)</f>
        <v/>
      </c>
      <c r="E92" s="9" t="str">
        <f>IF($A92="","",1*'Material Costs'!$D$2)</f>
        <v/>
      </c>
      <c r="F92" s="9" t="str">
        <f>IF($A92="","",IF($C92="Bubble Mailer",2,1)*'Material Costs'!$D$6)</f>
        <v/>
      </c>
      <c r="G92" s="9" t="str">
        <f>IF($A92="","",1*'Material Costs'!$D$7)</f>
        <v/>
      </c>
      <c r="H92" s="9" t="str">
        <f>IF($A92="","",IF($C92="Bubble Mailer",1,0)*'Material Costs'!$D$5)</f>
        <v/>
      </c>
      <c r="I92" s="9" t="str">
        <f>IF($A92="","",IF($C92="ESE (Ding Defend)",1,0)*'Material Costs'!$D$4)</f>
        <v/>
      </c>
      <c r="J92" s="9"/>
      <c r="K92" s="9" t="str">
        <f t="shared" si="9"/>
        <v/>
      </c>
      <c r="L92" s="9"/>
      <c r="M92" s="9"/>
      <c r="N92" s="9"/>
      <c r="O92" s="9" t="str">
        <f t="shared" si="10"/>
        <v/>
      </c>
      <c r="P92" s="9"/>
      <c r="Q92" s="9" t="str">
        <f>IF($A92="","",IF($O92="", "", ROUND($O92*Settings!$B$2+Settings!$B$3,2)))</f>
        <v/>
      </c>
      <c r="R92" s="9" t="str">
        <f>IF($A92="","",IF($L92="", "", Settings!$B$4))</f>
        <v/>
      </c>
      <c r="S92" s="9" t="str">
        <f t="shared" si="11"/>
        <v/>
      </c>
      <c r="T92" s="9" t="str">
        <f t="shared" si="12"/>
        <v/>
      </c>
      <c r="U92" s="9" t="str">
        <f>IF($A92="","",IF($K92="", "", ROUND((($K92 + Settings!$B$3 + $R92) - IF($M92="",0,$M92))/(1-Settings!$B$2),2)))</f>
        <v/>
      </c>
      <c r="V92" s="9" t="str">
        <f>IF($A92="","",$L92-($L92*Settings!$B$2)-$J92-($B92+SUM($D92:$I92)))</f>
        <v/>
      </c>
      <c r="W92" s="9" t="str">
        <f>IF($A92="","",(($B92+SUM($D92:$I92)+$J92+Settings!$B$3)/(1-Settings!$B$2))-$M92)</f>
        <v/>
      </c>
      <c r="X92" s="10" t="str">
        <f t="shared" si="13"/>
        <v/>
      </c>
      <c r="Y92" s="10" t="str">
        <f t="shared" si="14"/>
        <v/>
      </c>
      <c r="Z92" s="10" t="str">
        <f t="shared" si="15"/>
        <v/>
      </c>
      <c r="AA92" s="10" t="str">
        <f t="shared" si="16"/>
        <v/>
      </c>
      <c r="AC92" s="11"/>
      <c r="AD92" s="11"/>
      <c r="AE92" s="12" t="str">
        <f t="shared" si="17"/>
        <v/>
      </c>
    </row>
    <row r="93" spans="2:31" x14ac:dyDescent="0.25">
      <c r="B93" s="9"/>
      <c r="C93" t="s">
        <v>31</v>
      </c>
      <c r="D93" s="9" t="str">
        <f>IF($A93="","",1*'Material Costs'!$D$3)</f>
        <v/>
      </c>
      <c r="E93" s="9" t="str">
        <f>IF($A93="","",1*'Material Costs'!$D$2)</f>
        <v/>
      </c>
      <c r="F93" s="9" t="str">
        <f>IF($A93="","",IF($C93="Bubble Mailer",2,1)*'Material Costs'!$D$6)</f>
        <v/>
      </c>
      <c r="G93" s="9" t="str">
        <f>IF($A93="","",1*'Material Costs'!$D$7)</f>
        <v/>
      </c>
      <c r="H93" s="9" t="str">
        <f>IF($A93="","",IF($C93="Bubble Mailer",1,0)*'Material Costs'!$D$5)</f>
        <v/>
      </c>
      <c r="I93" s="9" t="str">
        <f>IF($A93="","",IF($C93="ESE (Ding Defend)",1,0)*'Material Costs'!$D$4)</f>
        <v/>
      </c>
      <c r="J93" s="9"/>
      <c r="K93" s="9" t="str">
        <f t="shared" si="9"/>
        <v/>
      </c>
      <c r="L93" s="9"/>
      <c r="M93" s="9"/>
      <c r="N93" s="9"/>
      <c r="O93" s="9" t="str">
        <f t="shared" si="10"/>
        <v/>
      </c>
      <c r="P93" s="9"/>
      <c r="Q93" s="9" t="str">
        <f>IF($A93="","",IF($O93="", "", ROUND($O93*Settings!$B$2+Settings!$B$3,2)))</f>
        <v/>
      </c>
      <c r="R93" s="9" t="str">
        <f>IF($A93="","",IF($L93="", "", Settings!$B$4))</f>
        <v/>
      </c>
      <c r="S93" s="9" t="str">
        <f t="shared" si="11"/>
        <v/>
      </c>
      <c r="T93" s="9" t="str">
        <f t="shared" si="12"/>
        <v/>
      </c>
      <c r="U93" s="9" t="str">
        <f>IF($A93="","",IF($K93="", "", ROUND((($K93 + Settings!$B$3 + $R93) - IF($M93="",0,$M93))/(1-Settings!$B$2),2)))</f>
        <v/>
      </c>
      <c r="V93" s="9" t="str">
        <f>IF($A93="","",$L93-($L93*Settings!$B$2)-$J93-($B93+SUM($D93:$I93)))</f>
        <v/>
      </c>
      <c r="W93" s="9" t="str">
        <f>IF($A93="","",(($B93+SUM($D93:$I93)+$J93+Settings!$B$3)/(1-Settings!$B$2))-$M93)</f>
        <v/>
      </c>
      <c r="X93" s="10" t="str">
        <f t="shared" si="13"/>
        <v/>
      </c>
      <c r="Y93" s="10" t="str">
        <f t="shared" si="14"/>
        <v/>
      </c>
      <c r="Z93" s="10" t="str">
        <f t="shared" si="15"/>
        <v/>
      </c>
      <c r="AA93" s="10" t="str">
        <f t="shared" si="16"/>
        <v/>
      </c>
      <c r="AC93" s="11"/>
      <c r="AD93" s="11"/>
      <c r="AE93" s="12" t="str">
        <f t="shared" si="17"/>
        <v/>
      </c>
    </row>
    <row r="94" spans="2:31" x14ac:dyDescent="0.25">
      <c r="B94" s="9"/>
      <c r="C94" t="s">
        <v>31</v>
      </c>
      <c r="D94" s="9" t="str">
        <f>IF($A94="","",1*'Material Costs'!$D$3)</f>
        <v/>
      </c>
      <c r="E94" s="9" t="str">
        <f>IF($A94="","",1*'Material Costs'!$D$2)</f>
        <v/>
      </c>
      <c r="F94" s="9" t="str">
        <f>IF($A94="","",IF($C94="Bubble Mailer",2,1)*'Material Costs'!$D$6)</f>
        <v/>
      </c>
      <c r="G94" s="9" t="str">
        <f>IF($A94="","",1*'Material Costs'!$D$7)</f>
        <v/>
      </c>
      <c r="H94" s="9" t="str">
        <f>IF($A94="","",IF($C94="Bubble Mailer",1,0)*'Material Costs'!$D$5)</f>
        <v/>
      </c>
      <c r="I94" s="9" t="str">
        <f>IF($A94="","",IF($C94="ESE (Ding Defend)",1,0)*'Material Costs'!$D$4)</f>
        <v/>
      </c>
      <c r="J94" s="9"/>
      <c r="K94" s="9" t="str">
        <f t="shared" si="9"/>
        <v/>
      </c>
      <c r="L94" s="9"/>
      <c r="M94" s="9"/>
      <c r="N94" s="9"/>
      <c r="O94" s="9" t="str">
        <f t="shared" si="10"/>
        <v/>
      </c>
      <c r="P94" s="9"/>
      <c r="Q94" s="9" t="str">
        <f>IF($A94="","",IF($O94="", "", ROUND($O94*Settings!$B$2+Settings!$B$3,2)))</f>
        <v/>
      </c>
      <c r="R94" s="9" t="str">
        <f>IF($A94="","",IF($L94="", "", Settings!$B$4))</f>
        <v/>
      </c>
      <c r="S94" s="9" t="str">
        <f t="shared" si="11"/>
        <v/>
      </c>
      <c r="T94" s="9" t="str">
        <f t="shared" si="12"/>
        <v/>
      </c>
      <c r="U94" s="9" t="str">
        <f>IF($A94="","",IF($K94="", "", ROUND((($K94 + Settings!$B$3 + $R94) - IF($M94="",0,$M94))/(1-Settings!$B$2),2)))</f>
        <v/>
      </c>
      <c r="V94" s="9" t="str">
        <f>IF($A94="","",$L94-($L94*Settings!$B$2)-$J94-($B94+SUM($D94:$I94)))</f>
        <v/>
      </c>
      <c r="W94" s="9" t="str">
        <f>IF($A94="","",(($B94+SUM($D94:$I94)+$J94+Settings!$B$3)/(1-Settings!$B$2))-$M94)</f>
        <v/>
      </c>
      <c r="X94" s="10" t="str">
        <f t="shared" si="13"/>
        <v/>
      </c>
      <c r="Y94" s="10" t="str">
        <f t="shared" si="14"/>
        <v/>
      </c>
      <c r="Z94" s="10" t="str">
        <f t="shared" si="15"/>
        <v/>
      </c>
      <c r="AA94" s="10" t="str">
        <f t="shared" si="16"/>
        <v/>
      </c>
      <c r="AC94" s="11"/>
      <c r="AD94" s="11"/>
      <c r="AE94" s="12" t="str">
        <f t="shared" si="17"/>
        <v/>
      </c>
    </row>
    <row r="95" spans="2:31" x14ac:dyDescent="0.25">
      <c r="B95" s="9"/>
      <c r="C95" t="s">
        <v>31</v>
      </c>
      <c r="D95" s="9" t="str">
        <f>IF($A95="","",1*'Material Costs'!$D$3)</f>
        <v/>
      </c>
      <c r="E95" s="9" t="str">
        <f>IF($A95="","",1*'Material Costs'!$D$2)</f>
        <v/>
      </c>
      <c r="F95" s="9" t="str">
        <f>IF($A95="","",IF($C95="Bubble Mailer",2,1)*'Material Costs'!$D$6)</f>
        <v/>
      </c>
      <c r="G95" s="9" t="str">
        <f>IF($A95="","",1*'Material Costs'!$D$7)</f>
        <v/>
      </c>
      <c r="H95" s="9" t="str">
        <f>IF($A95="","",IF($C95="Bubble Mailer",1,0)*'Material Costs'!$D$5)</f>
        <v/>
      </c>
      <c r="I95" s="9" t="str">
        <f>IF($A95="","",IF($C95="ESE (Ding Defend)",1,0)*'Material Costs'!$D$4)</f>
        <v/>
      </c>
      <c r="J95" s="9"/>
      <c r="K95" s="9" t="str">
        <f t="shared" si="9"/>
        <v/>
      </c>
      <c r="L95" s="9"/>
      <c r="M95" s="9"/>
      <c r="N95" s="9"/>
      <c r="O95" s="9" t="str">
        <f t="shared" si="10"/>
        <v/>
      </c>
      <c r="P95" s="9"/>
      <c r="Q95" s="9" t="str">
        <f>IF($A95="","",IF($O95="", "", ROUND($O95*Settings!$B$2+Settings!$B$3,2)))</f>
        <v/>
      </c>
      <c r="R95" s="9" t="str">
        <f>IF($A95="","",IF($L95="", "", Settings!$B$4))</f>
        <v/>
      </c>
      <c r="S95" s="9" t="str">
        <f t="shared" si="11"/>
        <v/>
      </c>
      <c r="T95" s="9" t="str">
        <f t="shared" si="12"/>
        <v/>
      </c>
      <c r="U95" s="9" t="str">
        <f>IF($A95="","",IF($K95="", "", ROUND((($K95 + Settings!$B$3 + $R95) - IF($M95="",0,$M95))/(1-Settings!$B$2),2)))</f>
        <v/>
      </c>
      <c r="V95" s="9" t="str">
        <f>IF($A95="","",$L95-($L95*Settings!$B$2)-$J95-($B95+SUM($D95:$I95)))</f>
        <v/>
      </c>
      <c r="W95" s="9" t="str">
        <f>IF($A95="","",(($B95+SUM($D95:$I95)+$J95+Settings!$B$3)/(1-Settings!$B$2))-$M95)</f>
        <v/>
      </c>
      <c r="X95" s="10" t="str">
        <f t="shared" si="13"/>
        <v/>
      </c>
      <c r="Y95" s="10" t="str">
        <f t="shared" si="14"/>
        <v/>
      </c>
      <c r="Z95" s="10" t="str">
        <f t="shared" si="15"/>
        <v/>
      </c>
      <c r="AA95" s="10" t="str">
        <f t="shared" si="16"/>
        <v/>
      </c>
      <c r="AC95" s="11"/>
      <c r="AD95" s="11"/>
      <c r="AE95" s="12" t="str">
        <f t="shared" si="17"/>
        <v/>
      </c>
    </row>
    <row r="96" spans="2:31" x14ac:dyDescent="0.25">
      <c r="B96" s="9"/>
      <c r="C96" t="s">
        <v>31</v>
      </c>
      <c r="D96" s="9" t="str">
        <f>IF($A96="","",1*'Material Costs'!$D$3)</f>
        <v/>
      </c>
      <c r="E96" s="9" t="str">
        <f>IF($A96="","",1*'Material Costs'!$D$2)</f>
        <v/>
      </c>
      <c r="F96" s="9" t="str">
        <f>IF($A96="","",IF($C96="Bubble Mailer",2,1)*'Material Costs'!$D$6)</f>
        <v/>
      </c>
      <c r="G96" s="9" t="str">
        <f>IF($A96="","",1*'Material Costs'!$D$7)</f>
        <v/>
      </c>
      <c r="H96" s="9" t="str">
        <f>IF($A96="","",IF($C96="Bubble Mailer",1,0)*'Material Costs'!$D$5)</f>
        <v/>
      </c>
      <c r="I96" s="9" t="str">
        <f>IF($A96="","",IF($C96="ESE (Ding Defend)",1,0)*'Material Costs'!$D$4)</f>
        <v/>
      </c>
      <c r="J96" s="9"/>
      <c r="K96" s="9" t="str">
        <f t="shared" si="9"/>
        <v/>
      </c>
      <c r="L96" s="9"/>
      <c r="M96" s="9"/>
      <c r="N96" s="9"/>
      <c r="O96" s="9" t="str">
        <f t="shared" si="10"/>
        <v/>
      </c>
      <c r="P96" s="9"/>
      <c r="Q96" s="9" t="str">
        <f>IF($A96="","",IF($O96="", "", ROUND($O96*Settings!$B$2+Settings!$B$3,2)))</f>
        <v/>
      </c>
      <c r="R96" s="9" t="str">
        <f>IF($A96="","",IF($L96="", "", Settings!$B$4))</f>
        <v/>
      </c>
      <c r="S96" s="9" t="str">
        <f t="shared" si="11"/>
        <v/>
      </c>
      <c r="T96" s="9" t="str">
        <f t="shared" si="12"/>
        <v/>
      </c>
      <c r="U96" s="9" t="str">
        <f>IF($A96="","",IF($K96="", "", ROUND((($K96 + Settings!$B$3 + $R96) - IF($M96="",0,$M96))/(1-Settings!$B$2),2)))</f>
        <v/>
      </c>
      <c r="V96" s="9" t="str">
        <f>IF($A96="","",$L96-($L96*Settings!$B$2)-$J96-($B96+SUM($D96:$I96)))</f>
        <v/>
      </c>
      <c r="W96" s="9" t="str">
        <f>IF($A96="","",(($B96+SUM($D96:$I96)+$J96+Settings!$B$3)/(1-Settings!$B$2))-$M96)</f>
        <v/>
      </c>
      <c r="X96" s="10" t="str">
        <f t="shared" si="13"/>
        <v/>
      </c>
      <c r="Y96" s="10" t="str">
        <f t="shared" si="14"/>
        <v/>
      </c>
      <c r="Z96" s="10" t="str">
        <f t="shared" si="15"/>
        <v/>
      </c>
      <c r="AA96" s="10" t="str">
        <f t="shared" si="16"/>
        <v/>
      </c>
      <c r="AC96" s="11"/>
      <c r="AD96" s="11"/>
      <c r="AE96" s="12" t="str">
        <f t="shared" si="17"/>
        <v/>
      </c>
    </row>
    <row r="97" spans="2:31" x14ac:dyDescent="0.25">
      <c r="B97" s="9"/>
      <c r="C97" t="s">
        <v>31</v>
      </c>
      <c r="D97" s="9" t="str">
        <f>IF($A97="","",1*'Material Costs'!$D$3)</f>
        <v/>
      </c>
      <c r="E97" s="9" t="str">
        <f>IF($A97="","",1*'Material Costs'!$D$2)</f>
        <v/>
      </c>
      <c r="F97" s="9" t="str">
        <f>IF($A97="","",IF($C97="Bubble Mailer",2,1)*'Material Costs'!$D$6)</f>
        <v/>
      </c>
      <c r="G97" s="9" t="str">
        <f>IF($A97="","",1*'Material Costs'!$D$7)</f>
        <v/>
      </c>
      <c r="H97" s="9" t="str">
        <f>IF($A97="","",IF($C97="Bubble Mailer",1,0)*'Material Costs'!$D$5)</f>
        <v/>
      </c>
      <c r="I97" s="9" t="str">
        <f>IF($A97="","",IF($C97="ESE (Ding Defend)",1,0)*'Material Costs'!$D$4)</f>
        <v/>
      </c>
      <c r="J97" s="9"/>
      <c r="K97" s="9" t="str">
        <f t="shared" si="9"/>
        <v/>
      </c>
      <c r="L97" s="9"/>
      <c r="M97" s="9"/>
      <c r="N97" s="9"/>
      <c r="O97" s="9" t="str">
        <f t="shared" si="10"/>
        <v/>
      </c>
      <c r="P97" s="9"/>
      <c r="Q97" s="9" t="str">
        <f>IF($A97="","",IF($O97="", "", ROUND($O97*Settings!$B$2+Settings!$B$3,2)))</f>
        <v/>
      </c>
      <c r="R97" s="9" t="str">
        <f>IF($A97="","",IF($L97="", "", Settings!$B$4))</f>
        <v/>
      </c>
      <c r="S97" s="9" t="str">
        <f t="shared" si="11"/>
        <v/>
      </c>
      <c r="T97" s="9" t="str">
        <f t="shared" si="12"/>
        <v/>
      </c>
      <c r="U97" s="9" t="str">
        <f>IF($A97="","",IF($K97="", "", ROUND((($K97 + Settings!$B$3 + $R97) - IF($M97="",0,$M97))/(1-Settings!$B$2),2)))</f>
        <v/>
      </c>
      <c r="V97" s="9" t="str">
        <f>IF($A97="","",$L97-($L97*Settings!$B$2)-$J97-($B97+SUM($D97:$I97)))</f>
        <v/>
      </c>
      <c r="W97" s="9" t="str">
        <f>IF($A97="","",(($B97+SUM($D97:$I97)+$J97+Settings!$B$3)/(1-Settings!$B$2))-$M97)</f>
        <v/>
      </c>
      <c r="X97" s="10" t="str">
        <f t="shared" si="13"/>
        <v/>
      </c>
      <c r="Y97" s="10" t="str">
        <f t="shared" si="14"/>
        <v/>
      </c>
      <c r="Z97" s="10" t="str">
        <f t="shared" si="15"/>
        <v/>
      </c>
      <c r="AA97" s="10" t="str">
        <f t="shared" si="16"/>
        <v/>
      </c>
      <c r="AC97" s="11"/>
      <c r="AD97" s="11"/>
      <c r="AE97" s="12" t="str">
        <f t="shared" si="17"/>
        <v/>
      </c>
    </row>
    <row r="98" spans="2:31" x14ac:dyDescent="0.25">
      <c r="B98" s="9"/>
      <c r="C98" t="s">
        <v>31</v>
      </c>
      <c r="D98" s="9" t="str">
        <f>IF($A98="","",1*'Material Costs'!$D$3)</f>
        <v/>
      </c>
      <c r="E98" s="9" t="str">
        <f>IF($A98="","",1*'Material Costs'!$D$2)</f>
        <v/>
      </c>
      <c r="F98" s="9" t="str">
        <f>IF($A98="","",IF($C98="Bubble Mailer",2,1)*'Material Costs'!$D$6)</f>
        <v/>
      </c>
      <c r="G98" s="9" t="str">
        <f>IF($A98="","",1*'Material Costs'!$D$7)</f>
        <v/>
      </c>
      <c r="H98" s="9" t="str">
        <f>IF($A98="","",IF($C98="Bubble Mailer",1,0)*'Material Costs'!$D$5)</f>
        <v/>
      </c>
      <c r="I98" s="9" t="str">
        <f>IF($A98="","",IF($C98="ESE (Ding Defend)",1,0)*'Material Costs'!$D$4)</f>
        <v/>
      </c>
      <c r="J98" s="9"/>
      <c r="K98" s="9" t="str">
        <f t="shared" si="9"/>
        <v/>
      </c>
      <c r="L98" s="9"/>
      <c r="M98" s="9"/>
      <c r="N98" s="9"/>
      <c r="O98" s="9" t="str">
        <f t="shared" si="10"/>
        <v/>
      </c>
      <c r="P98" s="9"/>
      <c r="Q98" s="9" t="str">
        <f>IF($A98="","",IF($O98="", "", ROUND($O98*Settings!$B$2+Settings!$B$3,2)))</f>
        <v/>
      </c>
      <c r="R98" s="9" t="str">
        <f>IF($A98="","",IF($L98="", "", Settings!$B$4))</f>
        <v/>
      </c>
      <c r="S98" s="9" t="str">
        <f t="shared" si="11"/>
        <v/>
      </c>
      <c r="T98" s="9" t="str">
        <f t="shared" si="12"/>
        <v/>
      </c>
      <c r="U98" s="9" t="str">
        <f>IF($A98="","",IF($K98="", "", ROUND((($K98 + Settings!$B$3 + $R98) - IF($M98="",0,$M98))/(1-Settings!$B$2),2)))</f>
        <v/>
      </c>
      <c r="V98" s="9" t="str">
        <f>IF($A98="","",$L98-($L98*Settings!$B$2)-$J98-($B98+SUM($D98:$I98)))</f>
        <v/>
      </c>
      <c r="W98" s="9" t="str">
        <f>IF($A98="","",(($B98+SUM($D98:$I98)+$J98+Settings!$B$3)/(1-Settings!$B$2))-$M98)</f>
        <v/>
      </c>
      <c r="X98" s="10" t="str">
        <f t="shared" si="13"/>
        <v/>
      </c>
      <c r="Y98" s="10" t="str">
        <f t="shared" si="14"/>
        <v/>
      </c>
      <c r="Z98" s="10" t="str">
        <f t="shared" si="15"/>
        <v/>
      </c>
      <c r="AA98" s="10" t="str">
        <f t="shared" si="16"/>
        <v/>
      </c>
      <c r="AC98" s="11"/>
      <c r="AD98" s="11"/>
      <c r="AE98" s="12" t="str">
        <f t="shared" si="17"/>
        <v/>
      </c>
    </row>
    <row r="99" spans="2:31" x14ac:dyDescent="0.25">
      <c r="B99" s="9"/>
      <c r="C99" t="s">
        <v>31</v>
      </c>
      <c r="D99" s="9" t="str">
        <f>IF($A99="","",1*'Material Costs'!$D$3)</f>
        <v/>
      </c>
      <c r="E99" s="9" t="str">
        <f>IF($A99="","",1*'Material Costs'!$D$2)</f>
        <v/>
      </c>
      <c r="F99" s="9" t="str">
        <f>IF($A99="","",IF($C99="Bubble Mailer",2,1)*'Material Costs'!$D$6)</f>
        <v/>
      </c>
      <c r="G99" s="9" t="str">
        <f>IF($A99="","",1*'Material Costs'!$D$7)</f>
        <v/>
      </c>
      <c r="H99" s="9" t="str">
        <f>IF($A99="","",IF($C99="Bubble Mailer",1,0)*'Material Costs'!$D$5)</f>
        <v/>
      </c>
      <c r="I99" s="9" t="str">
        <f>IF($A99="","",IF($C99="ESE (Ding Defend)",1,0)*'Material Costs'!$D$4)</f>
        <v/>
      </c>
      <c r="J99" s="9"/>
      <c r="K99" s="9" t="str">
        <f t="shared" si="9"/>
        <v/>
      </c>
      <c r="L99" s="9"/>
      <c r="M99" s="9"/>
      <c r="N99" s="9"/>
      <c r="O99" s="9" t="str">
        <f t="shared" si="10"/>
        <v/>
      </c>
      <c r="P99" s="9"/>
      <c r="Q99" s="9" t="str">
        <f>IF($A99="","",IF($O99="", "", ROUND($O99*Settings!$B$2+Settings!$B$3,2)))</f>
        <v/>
      </c>
      <c r="R99" s="9" t="str">
        <f>IF($A99="","",IF($L99="", "", Settings!$B$4))</f>
        <v/>
      </c>
      <c r="S99" s="9" t="str">
        <f t="shared" si="11"/>
        <v/>
      </c>
      <c r="T99" s="9" t="str">
        <f t="shared" si="12"/>
        <v/>
      </c>
      <c r="U99" s="9" t="str">
        <f>IF($A99="","",IF($K99="", "", ROUND((($K99 + Settings!$B$3 + $R99) - IF($M99="",0,$M99))/(1-Settings!$B$2),2)))</f>
        <v/>
      </c>
      <c r="V99" s="9" t="str">
        <f>IF($A99="","",$L99-($L99*Settings!$B$2)-$J99-($B99+SUM($D99:$I99)))</f>
        <v/>
      </c>
      <c r="W99" s="9" t="str">
        <f>IF($A99="","",(($B99+SUM($D99:$I99)+$J99+Settings!$B$3)/(1-Settings!$B$2))-$M99)</f>
        <v/>
      </c>
      <c r="X99" s="10" t="str">
        <f t="shared" si="13"/>
        <v/>
      </c>
      <c r="Y99" s="10" t="str">
        <f t="shared" si="14"/>
        <v/>
      </c>
      <c r="Z99" s="10" t="str">
        <f t="shared" si="15"/>
        <v/>
      </c>
      <c r="AA99" s="10" t="str">
        <f t="shared" si="16"/>
        <v/>
      </c>
      <c r="AC99" s="11"/>
      <c r="AD99" s="11"/>
      <c r="AE99" s="12" t="str">
        <f t="shared" si="17"/>
        <v/>
      </c>
    </row>
    <row r="100" spans="2:31" x14ac:dyDescent="0.25">
      <c r="B100" s="9"/>
      <c r="C100" t="s">
        <v>31</v>
      </c>
      <c r="D100" s="9" t="str">
        <f>IF($A100="","",1*'Material Costs'!$D$3)</f>
        <v/>
      </c>
      <c r="E100" s="9" t="str">
        <f>IF($A100="","",1*'Material Costs'!$D$2)</f>
        <v/>
      </c>
      <c r="F100" s="9" t="str">
        <f>IF($A100="","",IF($C100="Bubble Mailer",2,1)*'Material Costs'!$D$6)</f>
        <v/>
      </c>
      <c r="G100" s="9" t="str">
        <f>IF($A100="","",1*'Material Costs'!$D$7)</f>
        <v/>
      </c>
      <c r="H100" s="9" t="str">
        <f>IF($A100="","",IF($C100="Bubble Mailer",1,0)*'Material Costs'!$D$5)</f>
        <v/>
      </c>
      <c r="I100" s="9" t="str">
        <f>IF($A100="","",IF($C100="ESE (Ding Defend)",1,0)*'Material Costs'!$D$4)</f>
        <v/>
      </c>
      <c r="J100" s="9"/>
      <c r="K100" s="9" t="str">
        <f t="shared" si="9"/>
        <v/>
      </c>
      <c r="L100" s="9"/>
      <c r="M100" s="9"/>
      <c r="N100" s="9"/>
      <c r="O100" s="9" t="str">
        <f t="shared" si="10"/>
        <v/>
      </c>
      <c r="P100" s="9"/>
      <c r="Q100" s="9" t="str">
        <f>IF($A100="","",IF($O100="", "", ROUND($O100*Settings!$B$2+Settings!$B$3,2)))</f>
        <v/>
      </c>
      <c r="R100" s="9" t="str">
        <f>IF($A100="","",IF($L100="", "", Settings!$B$4))</f>
        <v/>
      </c>
      <c r="S100" s="9" t="str">
        <f t="shared" si="11"/>
        <v/>
      </c>
      <c r="T100" s="9" t="str">
        <f t="shared" si="12"/>
        <v/>
      </c>
      <c r="U100" s="9" t="str">
        <f>IF($A100="","",IF($K100="", "", ROUND((($K100 + Settings!$B$3 + $R100) - IF($M100="",0,$M100))/(1-Settings!$B$2),2)))</f>
        <v/>
      </c>
      <c r="V100" s="9" t="str">
        <f>IF($A100="","",$L100-($L100*Settings!$B$2)-$J100-($B100+SUM($D100:$I100)))</f>
        <v/>
      </c>
      <c r="W100" s="9" t="str">
        <f>IF($A100="","",(($B100+SUM($D100:$I100)+$J100+Settings!$B$3)/(1-Settings!$B$2))-$M100)</f>
        <v/>
      </c>
      <c r="X100" s="10" t="str">
        <f t="shared" si="13"/>
        <v/>
      </c>
      <c r="Y100" s="10" t="str">
        <f t="shared" si="14"/>
        <v/>
      </c>
      <c r="Z100" s="10" t="str">
        <f t="shared" si="15"/>
        <v/>
      </c>
      <c r="AA100" s="10" t="str">
        <f t="shared" si="16"/>
        <v/>
      </c>
      <c r="AC100" s="11"/>
      <c r="AD100" s="11"/>
      <c r="AE100" s="12" t="str">
        <f t="shared" si="17"/>
        <v/>
      </c>
    </row>
    <row r="101" spans="2:31" x14ac:dyDescent="0.25">
      <c r="B101" s="9"/>
      <c r="C101" t="s">
        <v>31</v>
      </c>
      <c r="D101" s="9" t="str">
        <f>IF($A101="","",1*'Material Costs'!$D$3)</f>
        <v/>
      </c>
      <c r="E101" s="9" t="str">
        <f>IF($A101="","",1*'Material Costs'!$D$2)</f>
        <v/>
      </c>
      <c r="F101" s="9" t="str">
        <f>IF($A101="","",IF($C101="Bubble Mailer",2,1)*'Material Costs'!$D$6)</f>
        <v/>
      </c>
      <c r="G101" s="9" t="str">
        <f>IF($A101="","",1*'Material Costs'!$D$7)</f>
        <v/>
      </c>
      <c r="H101" s="9" t="str">
        <f>IF($A101="","",IF($C101="Bubble Mailer",1,0)*'Material Costs'!$D$5)</f>
        <v/>
      </c>
      <c r="I101" s="9" t="str">
        <f>IF($A101="","",IF($C101="ESE (Ding Defend)",1,0)*'Material Costs'!$D$4)</f>
        <v/>
      </c>
      <c r="J101" s="9"/>
      <c r="K101" s="9" t="str">
        <f t="shared" si="9"/>
        <v/>
      </c>
      <c r="L101" s="9"/>
      <c r="M101" s="9"/>
      <c r="N101" s="9"/>
      <c r="O101" s="9" t="str">
        <f t="shared" si="10"/>
        <v/>
      </c>
      <c r="P101" s="9"/>
      <c r="Q101" s="9" t="str">
        <f>IF($A101="","",IF($O101="", "", ROUND($O101*Settings!$B$2+Settings!$B$3,2)))</f>
        <v/>
      </c>
      <c r="R101" s="9" t="str">
        <f>IF($A101="","",IF($L101="", "", Settings!$B$4))</f>
        <v/>
      </c>
      <c r="S101" s="9" t="str">
        <f t="shared" si="11"/>
        <v/>
      </c>
      <c r="T101" s="9" t="str">
        <f t="shared" si="12"/>
        <v/>
      </c>
      <c r="U101" s="9" t="str">
        <f>IF($A101="","",IF($K101="", "", ROUND((($K101 + Settings!$B$3 + $R101) - IF($M101="",0,$M101))/(1-Settings!$B$2),2)))</f>
        <v/>
      </c>
      <c r="V101" s="9" t="str">
        <f>IF($A101="","",$L101-($L101*Settings!$B$2)-$J101-($B101+SUM($D101:$I101)))</f>
        <v/>
      </c>
      <c r="W101" s="9" t="str">
        <f>IF($A101="","",(($B101+SUM($D101:$I101)+$J101+Settings!$B$3)/(1-Settings!$B$2))-$M101)</f>
        <v/>
      </c>
      <c r="X101" s="10" t="str">
        <f t="shared" si="13"/>
        <v/>
      </c>
      <c r="Y101" s="10" t="str">
        <f t="shared" si="14"/>
        <v/>
      </c>
      <c r="Z101" s="10" t="str">
        <f t="shared" si="15"/>
        <v/>
      </c>
      <c r="AA101" s="10" t="str">
        <f t="shared" si="16"/>
        <v/>
      </c>
      <c r="AC101" s="11"/>
      <c r="AD101" s="11"/>
      <c r="AE101" s="12" t="str">
        <f t="shared" si="17"/>
        <v/>
      </c>
    </row>
    <row r="102" spans="2:31" x14ac:dyDescent="0.25">
      <c r="B102" s="9"/>
      <c r="C102" t="s">
        <v>31</v>
      </c>
      <c r="D102" s="9" t="str">
        <f>IF($A102="","",1*'Material Costs'!$D$3)</f>
        <v/>
      </c>
      <c r="E102" s="9" t="str">
        <f>IF($A102="","",1*'Material Costs'!$D$2)</f>
        <v/>
      </c>
      <c r="F102" s="9" t="str">
        <f>IF($A102="","",IF($C102="Bubble Mailer",2,1)*'Material Costs'!$D$6)</f>
        <v/>
      </c>
      <c r="G102" s="9" t="str">
        <f>IF($A102="","",1*'Material Costs'!$D$7)</f>
        <v/>
      </c>
      <c r="H102" s="9" t="str">
        <f>IF($A102="","",IF($C102="Bubble Mailer",1,0)*'Material Costs'!$D$5)</f>
        <v/>
      </c>
      <c r="I102" s="9" t="str">
        <f>IF($A102="","",IF($C102="ESE (Ding Defend)",1,0)*'Material Costs'!$D$4)</f>
        <v/>
      </c>
      <c r="J102" s="9"/>
      <c r="K102" s="9" t="str">
        <f t="shared" si="9"/>
        <v/>
      </c>
      <c r="L102" s="9"/>
      <c r="M102" s="9"/>
      <c r="N102" s="9"/>
      <c r="O102" s="9" t="str">
        <f t="shared" si="10"/>
        <v/>
      </c>
      <c r="P102" s="9"/>
      <c r="Q102" s="9" t="str">
        <f>IF($A102="","",IF($O102="", "", ROUND($O102*Settings!$B$2+Settings!$B$3,2)))</f>
        <v/>
      </c>
      <c r="R102" s="9" t="str">
        <f>IF($A102="","",IF($L102="", "", Settings!$B$4))</f>
        <v/>
      </c>
      <c r="S102" s="9" t="str">
        <f t="shared" si="11"/>
        <v/>
      </c>
      <c r="T102" s="9" t="str">
        <f t="shared" si="12"/>
        <v/>
      </c>
      <c r="U102" s="9" t="str">
        <f>IF($A102="","",IF($K102="", "", ROUND((($K102 + Settings!$B$3 + $R102) - IF($M102="",0,$M102))/(1-Settings!$B$2),2)))</f>
        <v/>
      </c>
      <c r="V102" s="9" t="str">
        <f>IF($A102="","",$L102-($L102*Settings!$B$2)-$J102-($B102+SUM($D102:$I102)))</f>
        <v/>
      </c>
      <c r="W102" s="9" t="str">
        <f>IF($A102="","",(($B102+SUM($D102:$I102)+$J102+Settings!$B$3)/(1-Settings!$B$2))-$M102)</f>
        <v/>
      </c>
      <c r="X102" s="10" t="str">
        <f t="shared" si="13"/>
        <v/>
      </c>
      <c r="Y102" s="10" t="str">
        <f t="shared" si="14"/>
        <v/>
      </c>
      <c r="Z102" s="10" t="str">
        <f t="shared" si="15"/>
        <v/>
      </c>
      <c r="AA102" s="10" t="str">
        <f t="shared" si="16"/>
        <v/>
      </c>
      <c r="AC102" s="11"/>
      <c r="AD102" s="11"/>
      <c r="AE102" s="12" t="str">
        <f t="shared" si="17"/>
        <v/>
      </c>
    </row>
    <row r="103" spans="2:31" x14ac:dyDescent="0.25">
      <c r="B103" s="9"/>
      <c r="C103" t="s">
        <v>31</v>
      </c>
      <c r="D103" s="9" t="str">
        <f>IF($A103="","",1*'Material Costs'!$D$3)</f>
        <v/>
      </c>
      <c r="E103" s="9" t="str">
        <f>IF($A103="","",1*'Material Costs'!$D$2)</f>
        <v/>
      </c>
      <c r="F103" s="9" t="str">
        <f>IF($A103="","",IF($C103="Bubble Mailer",2,1)*'Material Costs'!$D$6)</f>
        <v/>
      </c>
      <c r="G103" s="9" t="str">
        <f>IF($A103="","",1*'Material Costs'!$D$7)</f>
        <v/>
      </c>
      <c r="H103" s="9" t="str">
        <f>IF($A103="","",IF($C103="Bubble Mailer",1,0)*'Material Costs'!$D$5)</f>
        <v/>
      </c>
      <c r="I103" s="9" t="str">
        <f>IF($A103="","",IF($C103="ESE (Ding Defend)",1,0)*'Material Costs'!$D$4)</f>
        <v/>
      </c>
      <c r="J103" s="9"/>
      <c r="K103" s="9" t="str">
        <f t="shared" si="9"/>
        <v/>
      </c>
      <c r="L103" s="9"/>
      <c r="M103" s="9"/>
      <c r="N103" s="9"/>
      <c r="O103" s="9" t="str">
        <f t="shared" si="10"/>
        <v/>
      </c>
      <c r="P103" s="9"/>
      <c r="Q103" s="9" t="str">
        <f>IF($A103="","",IF($O103="", "", ROUND($O103*Settings!$B$2+Settings!$B$3,2)))</f>
        <v/>
      </c>
      <c r="R103" s="9" t="str">
        <f>IF($A103="","",IF($L103="", "", Settings!$B$4))</f>
        <v/>
      </c>
      <c r="S103" s="9" t="str">
        <f t="shared" si="11"/>
        <v/>
      </c>
      <c r="T103" s="9" t="str">
        <f t="shared" si="12"/>
        <v/>
      </c>
      <c r="U103" s="9" t="str">
        <f>IF($A103="","",IF($K103="", "", ROUND((($K103 + Settings!$B$3 + $R103) - IF($M103="",0,$M103))/(1-Settings!$B$2),2)))</f>
        <v/>
      </c>
      <c r="V103" s="9" t="str">
        <f>IF($A103="","",$L103-($L103*Settings!$B$2)-$J103-($B103+SUM($D103:$I103)))</f>
        <v/>
      </c>
      <c r="W103" s="9" t="str">
        <f>IF($A103="","",(($B103+SUM($D103:$I103)+$J103+Settings!$B$3)/(1-Settings!$B$2))-$M103)</f>
        <v/>
      </c>
      <c r="X103" s="10" t="str">
        <f t="shared" si="13"/>
        <v/>
      </c>
      <c r="Y103" s="10" t="str">
        <f t="shared" si="14"/>
        <v/>
      </c>
      <c r="Z103" s="10" t="str">
        <f t="shared" si="15"/>
        <v/>
      </c>
      <c r="AA103" s="10" t="str">
        <f t="shared" si="16"/>
        <v/>
      </c>
      <c r="AC103" s="11"/>
      <c r="AD103" s="11"/>
      <c r="AE103" s="12" t="str">
        <f t="shared" si="17"/>
        <v/>
      </c>
    </row>
    <row r="104" spans="2:31" x14ac:dyDescent="0.25">
      <c r="B104" s="9"/>
      <c r="C104" t="s">
        <v>31</v>
      </c>
      <c r="D104" s="9" t="str">
        <f>IF($A104="","",1*'Material Costs'!$D$3)</f>
        <v/>
      </c>
      <c r="E104" s="9" t="str">
        <f>IF($A104="","",1*'Material Costs'!$D$2)</f>
        <v/>
      </c>
      <c r="F104" s="9" t="str">
        <f>IF($A104="","",IF($C104="Bubble Mailer",2,1)*'Material Costs'!$D$6)</f>
        <v/>
      </c>
      <c r="G104" s="9" t="str">
        <f>IF($A104="","",1*'Material Costs'!$D$7)</f>
        <v/>
      </c>
      <c r="H104" s="9" t="str">
        <f>IF($A104="","",IF($C104="Bubble Mailer",1,0)*'Material Costs'!$D$5)</f>
        <v/>
      </c>
      <c r="I104" s="9" t="str">
        <f>IF($A104="","",IF($C104="ESE (Ding Defend)",1,0)*'Material Costs'!$D$4)</f>
        <v/>
      </c>
      <c r="J104" s="9"/>
      <c r="K104" s="9" t="str">
        <f t="shared" si="9"/>
        <v/>
      </c>
      <c r="L104" s="9"/>
      <c r="M104" s="9"/>
      <c r="N104" s="9"/>
      <c r="O104" s="9" t="str">
        <f t="shared" si="10"/>
        <v/>
      </c>
      <c r="P104" s="9"/>
      <c r="Q104" s="9" t="str">
        <f>IF($A104="","",IF($O104="", "", ROUND($O104*Settings!$B$2+Settings!$B$3,2)))</f>
        <v/>
      </c>
      <c r="R104" s="9" t="str">
        <f>IF($A104="","",IF($L104="", "", Settings!$B$4))</f>
        <v/>
      </c>
      <c r="S104" s="9" t="str">
        <f t="shared" si="11"/>
        <v/>
      </c>
      <c r="T104" s="9" t="str">
        <f t="shared" si="12"/>
        <v/>
      </c>
      <c r="U104" s="9" t="str">
        <f>IF($A104="","",IF($K104="", "", ROUND((($K104 + Settings!$B$3 + $R104) - IF($M104="",0,$M104))/(1-Settings!$B$2),2)))</f>
        <v/>
      </c>
      <c r="V104" s="9" t="str">
        <f>IF($A104="","",$L104-($L104*Settings!$B$2)-$J104-($B104+SUM($D104:$I104)))</f>
        <v/>
      </c>
      <c r="W104" s="9" t="str">
        <f>IF($A104="","",(($B104+SUM($D104:$I104)+$J104+Settings!$B$3)/(1-Settings!$B$2))-$M104)</f>
        <v/>
      </c>
      <c r="X104" s="10" t="str">
        <f t="shared" si="13"/>
        <v/>
      </c>
      <c r="Y104" s="10" t="str">
        <f t="shared" si="14"/>
        <v/>
      </c>
      <c r="Z104" s="10" t="str">
        <f t="shared" si="15"/>
        <v/>
      </c>
      <c r="AA104" s="10" t="str">
        <f t="shared" si="16"/>
        <v/>
      </c>
      <c r="AC104" s="11"/>
      <c r="AD104" s="11"/>
      <c r="AE104" s="12" t="str">
        <f t="shared" si="17"/>
        <v/>
      </c>
    </row>
    <row r="105" spans="2:31" x14ac:dyDescent="0.25">
      <c r="B105" s="9"/>
      <c r="C105" t="s">
        <v>31</v>
      </c>
      <c r="D105" s="9" t="str">
        <f>IF($A105="","",1*'Material Costs'!$D$3)</f>
        <v/>
      </c>
      <c r="E105" s="9" t="str">
        <f>IF($A105="","",1*'Material Costs'!$D$2)</f>
        <v/>
      </c>
      <c r="F105" s="9" t="str">
        <f>IF($A105="","",IF($C105="Bubble Mailer",2,1)*'Material Costs'!$D$6)</f>
        <v/>
      </c>
      <c r="G105" s="9" t="str">
        <f>IF($A105="","",1*'Material Costs'!$D$7)</f>
        <v/>
      </c>
      <c r="H105" s="9" t="str">
        <f>IF($A105="","",IF($C105="Bubble Mailer",1,0)*'Material Costs'!$D$5)</f>
        <v/>
      </c>
      <c r="I105" s="9" t="str">
        <f>IF($A105="","",IF($C105="ESE (Ding Defend)",1,0)*'Material Costs'!$D$4)</f>
        <v/>
      </c>
      <c r="J105" s="9"/>
      <c r="K105" s="9" t="str">
        <f t="shared" si="9"/>
        <v/>
      </c>
      <c r="L105" s="9"/>
      <c r="M105" s="9"/>
      <c r="N105" s="9"/>
      <c r="O105" s="9" t="str">
        <f t="shared" si="10"/>
        <v/>
      </c>
      <c r="P105" s="9"/>
      <c r="Q105" s="9" t="str">
        <f>IF($A105="","",IF($O105="", "", ROUND($O105*Settings!$B$2+Settings!$B$3,2)))</f>
        <v/>
      </c>
      <c r="R105" s="9" t="str">
        <f>IF($A105="","",IF($L105="", "", Settings!$B$4))</f>
        <v/>
      </c>
      <c r="S105" s="9" t="str">
        <f t="shared" si="11"/>
        <v/>
      </c>
      <c r="T105" s="9" t="str">
        <f t="shared" si="12"/>
        <v/>
      </c>
      <c r="U105" s="9" t="str">
        <f>IF($A105="","",IF($K105="", "", ROUND((($K105 + Settings!$B$3 + $R105) - IF($M105="",0,$M105))/(1-Settings!$B$2),2)))</f>
        <v/>
      </c>
      <c r="V105" s="9" t="str">
        <f>IF($A105="","",$L105-($L105*Settings!$B$2)-$J105-($B105+SUM($D105:$I105)))</f>
        <v/>
      </c>
      <c r="W105" s="9" t="str">
        <f>IF($A105="","",(($B105+SUM($D105:$I105)+$J105+Settings!$B$3)/(1-Settings!$B$2))-$M105)</f>
        <v/>
      </c>
      <c r="X105" s="10" t="str">
        <f t="shared" si="13"/>
        <v/>
      </c>
      <c r="Y105" s="10" t="str">
        <f t="shared" si="14"/>
        <v/>
      </c>
      <c r="Z105" s="10" t="str">
        <f t="shared" si="15"/>
        <v/>
      </c>
      <c r="AA105" s="10" t="str">
        <f t="shared" si="16"/>
        <v/>
      </c>
      <c r="AC105" s="11"/>
      <c r="AD105" s="11"/>
      <c r="AE105" s="12" t="str">
        <f t="shared" si="17"/>
        <v/>
      </c>
    </row>
    <row r="106" spans="2:31" x14ac:dyDescent="0.25">
      <c r="B106" s="9"/>
      <c r="C106" t="s">
        <v>31</v>
      </c>
      <c r="D106" s="9" t="str">
        <f>IF($A106="","",1*'Material Costs'!$D$3)</f>
        <v/>
      </c>
      <c r="E106" s="9" t="str">
        <f>IF($A106="","",1*'Material Costs'!$D$2)</f>
        <v/>
      </c>
      <c r="F106" s="9" t="str">
        <f>IF($A106="","",IF($C106="Bubble Mailer",2,1)*'Material Costs'!$D$6)</f>
        <v/>
      </c>
      <c r="G106" s="9" t="str">
        <f>IF($A106="","",1*'Material Costs'!$D$7)</f>
        <v/>
      </c>
      <c r="H106" s="9" t="str">
        <f>IF($A106="","",IF($C106="Bubble Mailer",1,0)*'Material Costs'!$D$5)</f>
        <v/>
      </c>
      <c r="I106" s="9" t="str">
        <f>IF($A106="","",IF($C106="ESE (Ding Defend)",1,0)*'Material Costs'!$D$4)</f>
        <v/>
      </c>
      <c r="J106" s="9"/>
      <c r="K106" s="9" t="str">
        <f t="shared" si="9"/>
        <v/>
      </c>
      <c r="L106" s="9"/>
      <c r="M106" s="9"/>
      <c r="N106" s="9"/>
      <c r="O106" s="9" t="str">
        <f t="shared" si="10"/>
        <v/>
      </c>
      <c r="P106" s="9"/>
      <c r="Q106" s="9" t="str">
        <f>IF($A106="","",IF($O106="", "", ROUND($O106*Settings!$B$2+Settings!$B$3,2)))</f>
        <v/>
      </c>
      <c r="R106" s="9" t="str">
        <f>IF($A106="","",IF($L106="", "", Settings!$B$4))</f>
        <v/>
      </c>
      <c r="S106" s="9" t="str">
        <f t="shared" si="11"/>
        <v/>
      </c>
      <c r="T106" s="9" t="str">
        <f t="shared" si="12"/>
        <v/>
      </c>
      <c r="U106" s="9" t="str">
        <f>IF($A106="","",IF($K106="", "", ROUND((($K106 + Settings!$B$3 + $R106) - IF($M106="",0,$M106))/(1-Settings!$B$2),2)))</f>
        <v/>
      </c>
      <c r="V106" s="9" t="str">
        <f>IF($A106="","",$L106-($L106*Settings!$B$2)-$J106-($B106+SUM($D106:$I106)))</f>
        <v/>
      </c>
      <c r="W106" s="9" t="str">
        <f>IF($A106="","",(($B106+SUM($D106:$I106)+$J106+Settings!$B$3)/(1-Settings!$B$2))-$M106)</f>
        <v/>
      </c>
      <c r="X106" s="10" t="str">
        <f t="shared" si="13"/>
        <v/>
      </c>
      <c r="Y106" s="10" t="str">
        <f t="shared" si="14"/>
        <v/>
      </c>
      <c r="Z106" s="10" t="str">
        <f t="shared" si="15"/>
        <v/>
      </c>
      <c r="AA106" s="10" t="str">
        <f t="shared" si="16"/>
        <v/>
      </c>
      <c r="AC106" s="11"/>
      <c r="AD106" s="11"/>
      <c r="AE106" s="12" t="str">
        <f t="shared" si="17"/>
        <v/>
      </c>
    </row>
    <row r="107" spans="2:31" x14ac:dyDescent="0.25">
      <c r="B107" s="9"/>
      <c r="C107" t="s">
        <v>31</v>
      </c>
      <c r="D107" s="9" t="str">
        <f>IF($A107="","",1*'Material Costs'!$D$3)</f>
        <v/>
      </c>
      <c r="E107" s="9" t="str">
        <f>IF($A107="","",1*'Material Costs'!$D$2)</f>
        <v/>
      </c>
      <c r="F107" s="9" t="str">
        <f>IF($A107="","",IF($C107="Bubble Mailer",2,1)*'Material Costs'!$D$6)</f>
        <v/>
      </c>
      <c r="G107" s="9" t="str">
        <f>IF($A107="","",1*'Material Costs'!$D$7)</f>
        <v/>
      </c>
      <c r="H107" s="9" t="str">
        <f>IF($A107="","",IF($C107="Bubble Mailer",1,0)*'Material Costs'!$D$5)</f>
        <v/>
      </c>
      <c r="I107" s="9" t="str">
        <f>IF($A107="","",IF($C107="ESE (Ding Defend)",1,0)*'Material Costs'!$D$4)</f>
        <v/>
      </c>
      <c r="J107" s="9"/>
      <c r="K107" s="9" t="str">
        <f t="shared" si="9"/>
        <v/>
      </c>
      <c r="L107" s="9"/>
      <c r="M107" s="9"/>
      <c r="N107" s="9"/>
      <c r="O107" s="9" t="str">
        <f t="shared" si="10"/>
        <v/>
      </c>
      <c r="P107" s="9"/>
      <c r="Q107" s="9" t="str">
        <f>IF($A107="","",IF($O107="", "", ROUND($O107*Settings!$B$2+Settings!$B$3,2)))</f>
        <v/>
      </c>
      <c r="R107" s="9" t="str">
        <f>IF($A107="","",IF($L107="", "", Settings!$B$4))</f>
        <v/>
      </c>
      <c r="S107" s="9" t="str">
        <f t="shared" si="11"/>
        <v/>
      </c>
      <c r="T107" s="9" t="str">
        <f t="shared" si="12"/>
        <v/>
      </c>
      <c r="U107" s="9" t="str">
        <f>IF($A107="","",IF($K107="", "", ROUND((($K107 + Settings!$B$3 + $R107) - IF($M107="",0,$M107))/(1-Settings!$B$2),2)))</f>
        <v/>
      </c>
      <c r="V107" s="9" t="str">
        <f>IF($A107="","",$L107-($L107*Settings!$B$2)-$J107-($B107+SUM($D107:$I107)))</f>
        <v/>
      </c>
      <c r="W107" s="9" t="str">
        <f>IF($A107="","",(($B107+SUM($D107:$I107)+$J107+Settings!$B$3)/(1-Settings!$B$2))-$M107)</f>
        <v/>
      </c>
      <c r="X107" s="10" t="str">
        <f t="shared" si="13"/>
        <v/>
      </c>
      <c r="Y107" s="10" t="str">
        <f t="shared" si="14"/>
        <v/>
      </c>
      <c r="Z107" s="10" t="str">
        <f t="shared" si="15"/>
        <v/>
      </c>
      <c r="AA107" s="10" t="str">
        <f t="shared" si="16"/>
        <v/>
      </c>
      <c r="AC107" s="11"/>
      <c r="AD107" s="11"/>
      <c r="AE107" s="12" t="str">
        <f t="shared" si="17"/>
        <v/>
      </c>
    </row>
    <row r="108" spans="2:31" x14ac:dyDescent="0.25">
      <c r="B108" s="9"/>
      <c r="C108" t="s">
        <v>31</v>
      </c>
      <c r="D108" s="9" t="str">
        <f>IF($A108="","",1*'Material Costs'!$D$3)</f>
        <v/>
      </c>
      <c r="E108" s="9" t="str">
        <f>IF($A108="","",1*'Material Costs'!$D$2)</f>
        <v/>
      </c>
      <c r="F108" s="9" t="str">
        <f>IF($A108="","",IF($C108="Bubble Mailer",2,1)*'Material Costs'!$D$6)</f>
        <v/>
      </c>
      <c r="G108" s="9" t="str">
        <f>IF($A108="","",1*'Material Costs'!$D$7)</f>
        <v/>
      </c>
      <c r="H108" s="9" t="str">
        <f>IF($A108="","",IF($C108="Bubble Mailer",1,0)*'Material Costs'!$D$5)</f>
        <v/>
      </c>
      <c r="I108" s="9" t="str">
        <f>IF($A108="","",IF($C108="ESE (Ding Defend)",1,0)*'Material Costs'!$D$4)</f>
        <v/>
      </c>
      <c r="J108" s="9"/>
      <c r="K108" s="9" t="str">
        <f t="shared" si="9"/>
        <v/>
      </c>
      <c r="L108" s="9"/>
      <c r="M108" s="9"/>
      <c r="N108" s="9"/>
      <c r="O108" s="9" t="str">
        <f t="shared" si="10"/>
        <v/>
      </c>
      <c r="P108" s="9"/>
      <c r="Q108" s="9" t="str">
        <f>IF($A108="","",IF($O108="", "", ROUND($O108*Settings!$B$2+Settings!$B$3,2)))</f>
        <v/>
      </c>
      <c r="R108" s="9" t="str">
        <f>IF($A108="","",IF($L108="", "", Settings!$B$4))</f>
        <v/>
      </c>
      <c r="S108" s="9" t="str">
        <f t="shared" si="11"/>
        <v/>
      </c>
      <c r="T108" s="9" t="str">
        <f t="shared" si="12"/>
        <v/>
      </c>
      <c r="U108" s="9" t="str">
        <f>IF($A108="","",IF($K108="", "", ROUND((($K108 + Settings!$B$3 + $R108) - IF($M108="",0,$M108))/(1-Settings!$B$2),2)))</f>
        <v/>
      </c>
      <c r="V108" s="9" t="str">
        <f>IF($A108="","",$L108-($L108*Settings!$B$2)-$J108-($B108+SUM($D108:$I108)))</f>
        <v/>
      </c>
      <c r="W108" s="9" t="str">
        <f>IF($A108="","",(($B108+SUM($D108:$I108)+$J108+Settings!$B$3)/(1-Settings!$B$2))-$M108)</f>
        <v/>
      </c>
      <c r="X108" s="10" t="str">
        <f t="shared" si="13"/>
        <v/>
      </c>
      <c r="Y108" s="10" t="str">
        <f t="shared" si="14"/>
        <v/>
      </c>
      <c r="Z108" s="10" t="str">
        <f t="shared" si="15"/>
        <v/>
      </c>
      <c r="AA108" s="10" t="str">
        <f t="shared" si="16"/>
        <v/>
      </c>
      <c r="AC108" s="11"/>
      <c r="AD108" s="11"/>
      <c r="AE108" s="12" t="str">
        <f t="shared" si="17"/>
        <v/>
      </c>
    </row>
    <row r="109" spans="2:31" x14ac:dyDescent="0.25">
      <c r="B109" s="9"/>
      <c r="C109" t="s">
        <v>31</v>
      </c>
      <c r="D109" s="9" t="str">
        <f>IF($A109="","",1*'Material Costs'!$D$3)</f>
        <v/>
      </c>
      <c r="E109" s="9" t="str">
        <f>IF($A109="","",1*'Material Costs'!$D$2)</f>
        <v/>
      </c>
      <c r="F109" s="9" t="str">
        <f>IF($A109="","",IF($C109="Bubble Mailer",2,1)*'Material Costs'!$D$6)</f>
        <v/>
      </c>
      <c r="G109" s="9" t="str">
        <f>IF($A109="","",1*'Material Costs'!$D$7)</f>
        <v/>
      </c>
      <c r="H109" s="9" t="str">
        <f>IF($A109="","",IF($C109="Bubble Mailer",1,0)*'Material Costs'!$D$5)</f>
        <v/>
      </c>
      <c r="I109" s="9" t="str">
        <f>IF($A109="","",IF($C109="ESE (Ding Defend)",1,0)*'Material Costs'!$D$4)</f>
        <v/>
      </c>
      <c r="J109" s="9"/>
      <c r="K109" s="9" t="str">
        <f t="shared" si="9"/>
        <v/>
      </c>
      <c r="L109" s="9"/>
      <c r="M109" s="9"/>
      <c r="N109" s="9"/>
      <c r="O109" s="9" t="str">
        <f t="shared" si="10"/>
        <v/>
      </c>
      <c r="P109" s="9"/>
      <c r="Q109" s="9" t="str">
        <f>IF($A109="","",IF($O109="", "", ROUND($O109*Settings!$B$2+Settings!$B$3,2)))</f>
        <v/>
      </c>
      <c r="R109" s="9" t="str">
        <f>IF($A109="","",IF($L109="", "", Settings!$B$4))</f>
        <v/>
      </c>
      <c r="S109" s="9" t="str">
        <f t="shared" si="11"/>
        <v/>
      </c>
      <c r="T109" s="9" t="str">
        <f t="shared" si="12"/>
        <v/>
      </c>
      <c r="U109" s="9" t="str">
        <f>IF($A109="","",IF($K109="", "", ROUND((($K109 + Settings!$B$3 + $R109) - IF($M109="",0,$M109))/(1-Settings!$B$2),2)))</f>
        <v/>
      </c>
      <c r="V109" s="9" t="str">
        <f>IF($A109="","",$L109-($L109*Settings!$B$2)-$J109-($B109+SUM($D109:$I109)))</f>
        <v/>
      </c>
      <c r="W109" s="9" t="str">
        <f>IF($A109="","",(($B109+SUM($D109:$I109)+$J109+Settings!$B$3)/(1-Settings!$B$2))-$M109)</f>
        <v/>
      </c>
      <c r="X109" s="10" t="str">
        <f t="shared" si="13"/>
        <v/>
      </c>
      <c r="Y109" s="10" t="str">
        <f t="shared" si="14"/>
        <v/>
      </c>
      <c r="Z109" s="10" t="str">
        <f t="shared" si="15"/>
        <v/>
      </c>
      <c r="AA109" s="10" t="str">
        <f t="shared" si="16"/>
        <v/>
      </c>
      <c r="AC109" s="11"/>
      <c r="AD109" s="11"/>
      <c r="AE109" s="12" t="str">
        <f t="shared" si="17"/>
        <v/>
      </c>
    </row>
    <row r="110" spans="2:31" x14ac:dyDescent="0.25">
      <c r="B110" s="9"/>
      <c r="C110" t="s">
        <v>31</v>
      </c>
      <c r="D110" s="9" t="str">
        <f>IF($A110="","",1*'Material Costs'!$D$3)</f>
        <v/>
      </c>
      <c r="E110" s="9" t="str">
        <f>IF($A110="","",1*'Material Costs'!$D$2)</f>
        <v/>
      </c>
      <c r="F110" s="9" t="str">
        <f>IF($A110="","",IF($C110="Bubble Mailer",2,1)*'Material Costs'!$D$6)</f>
        <v/>
      </c>
      <c r="G110" s="9" t="str">
        <f>IF($A110="","",1*'Material Costs'!$D$7)</f>
        <v/>
      </c>
      <c r="H110" s="9" t="str">
        <f>IF($A110="","",IF($C110="Bubble Mailer",1,0)*'Material Costs'!$D$5)</f>
        <v/>
      </c>
      <c r="I110" s="9" t="str">
        <f>IF($A110="","",IF($C110="ESE (Ding Defend)",1,0)*'Material Costs'!$D$4)</f>
        <v/>
      </c>
      <c r="J110" s="9"/>
      <c r="K110" s="9" t="str">
        <f t="shared" si="9"/>
        <v/>
      </c>
      <c r="L110" s="9"/>
      <c r="M110" s="9"/>
      <c r="N110" s="9"/>
      <c r="O110" s="9" t="str">
        <f t="shared" si="10"/>
        <v/>
      </c>
      <c r="P110" s="9"/>
      <c r="Q110" s="9" t="str">
        <f>IF($A110="","",IF($O110="", "", ROUND($O110*Settings!$B$2+Settings!$B$3,2)))</f>
        <v/>
      </c>
      <c r="R110" s="9" t="str">
        <f>IF($A110="","",IF($L110="", "", Settings!$B$4))</f>
        <v/>
      </c>
      <c r="S110" s="9" t="str">
        <f t="shared" si="11"/>
        <v/>
      </c>
      <c r="T110" s="9" t="str">
        <f t="shared" si="12"/>
        <v/>
      </c>
      <c r="U110" s="9" t="str">
        <f>IF($A110="","",IF($K110="", "", ROUND((($K110 + Settings!$B$3 + $R110) - IF($M110="",0,$M110))/(1-Settings!$B$2),2)))</f>
        <v/>
      </c>
      <c r="V110" s="9" t="str">
        <f>IF($A110="","",$L110-($L110*Settings!$B$2)-$J110-($B110+SUM($D110:$I110)))</f>
        <v/>
      </c>
      <c r="W110" s="9" t="str">
        <f>IF($A110="","",(($B110+SUM($D110:$I110)+$J110+Settings!$B$3)/(1-Settings!$B$2))-$M110)</f>
        <v/>
      </c>
      <c r="X110" s="10" t="str">
        <f t="shared" si="13"/>
        <v/>
      </c>
      <c r="Y110" s="10" t="str">
        <f t="shared" si="14"/>
        <v/>
      </c>
      <c r="Z110" s="10" t="str">
        <f t="shared" si="15"/>
        <v/>
      </c>
      <c r="AA110" s="10" t="str">
        <f t="shared" si="16"/>
        <v/>
      </c>
      <c r="AC110" s="11"/>
      <c r="AD110" s="11"/>
      <c r="AE110" s="12" t="str">
        <f t="shared" si="17"/>
        <v/>
      </c>
    </row>
    <row r="111" spans="2:31" x14ac:dyDescent="0.25">
      <c r="B111" s="9"/>
      <c r="C111" t="s">
        <v>31</v>
      </c>
      <c r="D111" s="9" t="str">
        <f>IF($A111="","",1*'Material Costs'!$D$3)</f>
        <v/>
      </c>
      <c r="E111" s="9" t="str">
        <f>IF($A111="","",1*'Material Costs'!$D$2)</f>
        <v/>
      </c>
      <c r="F111" s="9" t="str">
        <f>IF($A111="","",IF($C111="Bubble Mailer",2,1)*'Material Costs'!$D$6)</f>
        <v/>
      </c>
      <c r="G111" s="9" t="str">
        <f>IF($A111="","",1*'Material Costs'!$D$7)</f>
        <v/>
      </c>
      <c r="H111" s="9" t="str">
        <f>IF($A111="","",IF($C111="Bubble Mailer",1,0)*'Material Costs'!$D$5)</f>
        <v/>
      </c>
      <c r="I111" s="9" t="str">
        <f>IF($A111="","",IF($C111="ESE (Ding Defend)",1,0)*'Material Costs'!$D$4)</f>
        <v/>
      </c>
      <c r="J111" s="9"/>
      <c r="K111" s="9" t="str">
        <f t="shared" si="9"/>
        <v/>
      </c>
      <c r="L111" s="9"/>
      <c r="M111" s="9"/>
      <c r="N111" s="9"/>
      <c r="O111" s="9" t="str">
        <f t="shared" si="10"/>
        <v/>
      </c>
      <c r="P111" s="9"/>
      <c r="Q111" s="9" t="str">
        <f>IF($A111="","",IF($O111="", "", ROUND($O111*Settings!$B$2+Settings!$B$3,2)))</f>
        <v/>
      </c>
      <c r="R111" s="9" t="str">
        <f>IF($A111="","",IF($L111="", "", Settings!$B$4))</f>
        <v/>
      </c>
      <c r="S111" s="9" t="str">
        <f t="shared" si="11"/>
        <v/>
      </c>
      <c r="T111" s="9" t="str">
        <f t="shared" si="12"/>
        <v/>
      </c>
      <c r="U111" s="9" t="str">
        <f>IF($A111="","",IF($K111="", "", ROUND((($K111 + Settings!$B$3 + $R111) - IF($M111="",0,$M111))/(1-Settings!$B$2),2)))</f>
        <v/>
      </c>
      <c r="V111" s="9" t="str">
        <f>IF($A111="","",$L111-($L111*Settings!$B$2)-$J111-($B111+SUM($D111:$I111)))</f>
        <v/>
      </c>
      <c r="W111" s="9" t="str">
        <f>IF($A111="","",(($B111+SUM($D111:$I111)+$J111+Settings!$B$3)/(1-Settings!$B$2))-$M111)</f>
        <v/>
      </c>
      <c r="X111" s="10" t="str">
        <f t="shared" si="13"/>
        <v/>
      </c>
      <c r="Y111" s="10" t="str">
        <f t="shared" si="14"/>
        <v/>
      </c>
      <c r="Z111" s="10" t="str">
        <f t="shared" si="15"/>
        <v/>
      </c>
      <c r="AA111" s="10" t="str">
        <f t="shared" si="16"/>
        <v/>
      </c>
      <c r="AC111" s="11"/>
      <c r="AD111" s="11"/>
      <c r="AE111" s="12" t="str">
        <f t="shared" si="17"/>
        <v/>
      </c>
    </row>
    <row r="112" spans="2:31" x14ac:dyDescent="0.25">
      <c r="B112" s="9"/>
      <c r="C112" t="s">
        <v>31</v>
      </c>
      <c r="D112" s="9" t="str">
        <f>IF($A112="","",1*'Material Costs'!$D$3)</f>
        <v/>
      </c>
      <c r="E112" s="9" t="str">
        <f>IF($A112="","",1*'Material Costs'!$D$2)</f>
        <v/>
      </c>
      <c r="F112" s="9" t="str">
        <f>IF($A112="","",IF($C112="Bubble Mailer",2,1)*'Material Costs'!$D$6)</f>
        <v/>
      </c>
      <c r="G112" s="9" t="str">
        <f>IF($A112="","",1*'Material Costs'!$D$7)</f>
        <v/>
      </c>
      <c r="H112" s="9" t="str">
        <f>IF($A112="","",IF($C112="Bubble Mailer",1,0)*'Material Costs'!$D$5)</f>
        <v/>
      </c>
      <c r="I112" s="9" t="str">
        <f>IF($A112="","",IF($C112="ESE (Ding Defend)",1,0)*'Material Costs'!$D$4)</f>
        <v/>
      </c>
      <c r="J112" s="9"/>
      <c r="K112" s="9" t="str">
        <f t="shared" si="9"/>
        <v/>
      </c>
      <c r="L112" s="9"/>
      <c r="M112" s="9"/>
      <c r="N112" s="9"/>
      <c r="O112" s="9" t="str">
        <f t="shared" si="10"/>
        <v/>
      </c>
      <c r="P112" s="9"/>
      <c r="Q112" s="9" t="str">
        <f>IF($A112="","",IF($O112="", "", ROUND($O112*Settings!$B$2+Settings!$B$3,2)))</f>
        <v/>
      </c>
      <c r="R112" s="9" t="str">
        <f>IF($A112="","",IF($L112="", "", Settings!$B$4))</f>
        <v/>
      </c>
      <c r="S112" s="9" t="str">
        <f t="shared" si="11"/>
        <v/>
      </c>
      <c r="T112" s="9" t="str">
        <f t="shared" si="12"/>
        <v/>
      </c>
      <c r="U112" s="9" t="str">
        <f>IF($A112="","",IF($K112="", "", ROUND((($K112 + Settings!$B$3 + $R112) - IF($M112="",0,$M112))/(1-Settings!$B$2),2)))</f>
        <v/>
      </c>
      <c r="V112" s="9" t="str">
        <f>IF($A112="","",$L112-($L112*Settings!$B$2)-$J112-($B112+SUM($D112:$I112)))</f>
        <v/>
      </c>
      <c r="W112" s="9" t="str">
        <f>IF($A112="","",(($B112+SUM($D112:$I112)+$J112+Settings!$B$3)/(1-Settings!$B$2))-$M112)</f>
        <v/>
      </c>
      <c r="X112" s="10" t="str">
        <f t="shared" si="13"/>
        <v/>
      </c>
      <c r="Y112" s="10" t="str">
        <f t="shared" si="14"/>
        <v/>
      </c>
      <c r="Z112" s="10" t="str">
        <f t="shared" si="15"/>
        <v/>
      </c>
      <c r="AA112" s="10" t="str">
        <f t="shared" si="16"/>
        <v/>
      </c>
      <c r="AC112" s="11"/>
      <c r="AD112" s="11"/>
      <c r="AE112" s="12" t="str">
        <f t="shared" si="17"/>
        <v/>
      </c>
    </row>
    <row r="113" spans="2:31" x14ac:dyDescent="0.25">
      <c r="B113" s="9"/>
      <c r="C113" t="s">
        <v>31</v>
      </c>
      <c r="D113" s="9" t="str">
        <f>IF($A113="","",1*'Material Costs'!$D$3)</f>
        <v/>
      </c>
      <c r="E113" s="9" t="str">
        <f>IF($A113="","",1*'Material Costs'!$D$2)</f>
        <v/>
      </c>
      <c r="F113" s="9" t="str">
        <f>IF($A113="","",IF($C113="Bubble Mailer",2,1)*'Material Costs'!$D$6)</f>
        <v/>
      </c>
      <c r="G113" s="9" t="str">
        <f>IF($A113="","",1*'Material Costs'!$D$7)</f>
        <v/>
      </c>
      <c r="H113" s="9" t="str">
        <f>IF($A113="","",IF($C113="Bubble Mailer",1,0)*'Material Costs'!$D$5)</f>
        <v/>
      </c>
      <c r="I113" s="9" t="str">
        <f>IF($A113="","",IF($C113="ESE (Ding Defend)",1,0)*'Material Costs'!$D$4)</f>
        <v/>
      </c>
      <c r="J113" s="9"/>
      <c r="K113" s="9" t="str">
        <f t="shared" si="9"/>
        <v/>
      </c>
      <c r="L113" s="9"/>
      <c r="M113" s="9"/>
      <c r="N113" s="9"/>
      <c r="O113" s="9" t="str">
        <f t="shared" si="10"/>
        <v/>
      </c>
      <c r="P113" s="9"/>
      <c r="Q113" s="9" t="str">
        <f>IF($A113="","",IF($O113="", "", ROUND($O113*Settings!$B$2+Settings!$B$3,2)))</f>
        <v/>
      </c>
      <c r="R113" s="9" t="str">
        <f>IF($A113="","",IF($L113="", "", Settings!$B$4))</f>
        <v/>
      </c>
      <c r="S113" s="9" t="str">
        <f t="shared" si="11"/>
        <v/>
      </c>
      <c r="T113" s="9" t="str">
        <f t="shared" si="12"/>
        <v/>
      </c>
      <c r="U113" s="9" t="str">
        <f>IF($A113="","",IF($K113="", "", ROUND((($K113 + Settings!$B$3 + $R113) - IF($M113="",0,$M113))/(1-Settings!$B$2),2)))</f>
        <v/>
      </c>
      <c r="V113" s="9" t="str">
        <f>IF($A113="","",$L113-($L113*Settings!$B$2)-$J113-($B113+SUM($D113:$I113)))</f>
        <v/>
      </c>
      <c r="W113" s="9" t="str">
        <f>IF($A113="","",(($B113+SUM($D113:$I113)+$J113+Settings!$B$3)/(1-Settings!$B$2))-$M113)</f>
        <v/>
      </c>
      <c r="X113" s="10" t="str">
        <f t="shared" si="13"/>
        <v/>
      </c>
      <c r="Y113" s="10" t="str">
        <f t="shared" si="14"/>
        <v/>
      </c>
      <c r="Z113" s="10" t="str">
        <f t="shared" si="15"/>
        <v/>
      </c>
      <c r="AA113" s="10" t="str">
        <f t="shared" si="16"/>
        <v/>
      </c>
      <c r="AC113" s="11"/>
      <c r="AD113" s="11"/>
      <c r="AE113" s="12" t="str">
        <f t="shared" si="17"/>
        <v/>
      </c>
    </row>
    <row r="114" spans="2:31" x14ac:dyDescent="0.25">
      <c r="B114" s="9"/>
      <c r="C114" t="s">
        <v>31</v>
      </c>
      <c r="D114" s="9" t="str">
        <f>IF($A114="","",1*'Material Costs'!$D$3)</f>
        <v/>
      </c>
      <c r="E114" s="9" t="str">
        <f>IF($A114="","",1*'Material Costs'!$D$2)</f>
        <v/>
      </c>
      <c r="F114" s="9" t="str">
        <f>IF($A114="","",IF($C114="Bubble Mailer",2,1)*'Material Costs'!$D$6)</f>
        <v/>
      </c>
      <c r="G114" s="9" t="str">
        <f>IF($A114="","",1*'Material Costs'!$D$7)</f>
        <v/>
      </c>
      <c r="H114" s="9" t="str">
        <f>IF($A114="","",IF($C114="Bubble Mailer",1,0)*'Material Costs'!$D$5)</f>
        <v/>
      </c>
      <c r="I114" s="9" t="str">
        <f>IF($A114="","",IF($C114="ESE (Ding Defend)",1,0)*'Material Costs'!$D$4)</f>
        <v/>
      </c>
      <c r="J114" s="9"/>
      <c r="K114" s="9" t="str">
        <f t="shared" si="9"/>
        <v/>
      </c>
      <c r="L114" s="9"/>
      <c r="M114" s="9"/>
      <c r="N114" s="9"/>
      <c r="O114" s="9" t="str">
        <f t="shared" si="10"/>
        <v/>
      </c>
      <c r="P114" s="9"/>
      <c r="Q114" s="9" t="str">
        <f>IF($A114="","",IF($O114="", "", ROUND($O114*Settings!$B$2+Settings!$B$3,2)))</f>
        <v/>
      </c>
      <c r="R114" s="9" t="str">
        <f>IF($A114="","",IF($L114="", "", Settings!$B$4))</f>
        <v/>
      </c>
      <c r="S114" s="9" t="str">
        <f t="shared" si="11"/>
        <v/>
      </c>
      <c r="T114" s="9" t="str">
        <f t="shared" si="12"/>
        <v/>
      </c>
      <c r="U114" s="9" t="str">
        <f>IF($A114="","",IF($K114="", "", ROUND((($K114 + Settings!$B$3 + $R114) - IF($M114="",0,$M114))/(1-Settings!$B$2),2)))</f>
        <v/>
      </c>
      <c r="V114" s="9" t="str">
        <f>IF($A114="","",$L114-($L114*Settings!$B$2)-$J114-($B114+SUM($D114:$I114)))</f>
        <v/>
      </c>
      <c r="W114" s="9" t="str">
        <f>IF($A114="","",(($B114+SUM($D114:$I114)+$J114+Settings!$B$3)/(1-Settings!$B$2))-$M114)</f>
        <v/>
      </c>
      <c r="X114" s="10" t="str">
        <f t="shared" si="13"/>
        <v/>
      </c>
      <c r="Y114" s="10" t="str">
        <f t="shared" si="14"/>
        <v/>
      </c>
      <c r="Z114" s="10" t="str">
        <f t="shared" si="15"/>
        <v/>
      </c>
      <c r="AA114" s="10" t="str">
        <f t="shared" si="16"/>
        <v/>
      </c>
      <c r="AC114" s="11"/>
      <c r="AD114" s="11"/>
      <c r="AE114" s="12" t="str">
        <f t="shared" si="17"/>
        <v/>
      </c>
    </row>
    <row r="115" spans="2:31" x14ac:dyDescent="0.25">
      <c r="B115" s="9"/>
      <c r="C115" t="s">
        <v>31</v>
      </c>
      <c r="D115" s="9" t="str">
        <f>IF($A115="","",1*'Material Costs'!$D$3)</f>
        <v/>
      </c>
      <c r="E115" s="9" t="str">
        <f>IF($A115="","",1*'Material Costs'!$D$2)</f>
        <v/>
      </c>
      <c r="F115" s="9" t="str">
        <f>IF($A115="","",IF($C115="Bubble Mailer",2,1)*'Material Costs'!$D$6)</f>
        <v/>
      </c>
      <c r="G115" s="9" t="str">
        <f>IF($A115="","",1*'Material Costs'!$D$7)</f>
        <v/>
      </c>
      <c r="H115" s="9" t="str">
        <f>IF($A115="","",IF($C115="Bubble Mailer",1,0)*'Material Costs'!$D$5)</f>
        <v/>
      </c>
      <c r="I115" s="9" t="str">
        <f>IF($A115="","",IF($C115="ESE (Ding Defend)",1,0)*'Material Costs'!$D$4)</f>
        <v/>
      </c>
      <c r="J115" s="9"/>
      <c r="K115" s="9" t="str">
        <f t="shared" si="9"/>
        <v/>
      </c>
      <c r="L115" s="9"/>
      <c r="M115" s="9"/>
      <c r="N115" s="9"/>
      <c r="O115" s="9" t="str">
        <f t="shared" si="10"/>
        <v/>
      </c>
      <c r="P115" s="9"/>
      <c r="Q115" s="9" t="str">
        <f>IF($A115="","",IF($O115="", "", ROUND($O115*Settings!$B$2+Settings!$B$3,2)))</f>
        <v/>
      </c>
      <c r="R115" s="9" t="str">
        <f>IF($A115="","",IF($L115="", "", Settings!$B$4))</f>
        <v/>
      </c>
      <c r="S115" s="9" t="str">
        <f t="shared" si="11"/>
        <v/>
      </c>
      <c r="T115" s="9" t="str">
        <f t="shared" si="12"/>
        <v/>
      </c>
      <c r="U115" s="9" t="str">
        <f>IF($A115="","",IF($K115="", "", ROUND((($K115 + Settings!$B$3 + $R115) - IF($M115="",0,$M115))/(1-Settings!$B$2),2)))</f>
        <v/>
      </c>
      <c r="V115" s="9" t="str">
        <f>IF($A115="","",$L115-($L115*Settings!$B$2)-$J115-($B115+SUM($D115:$I115)))</f>
        <v/>
      </c>
      <c r="W115" s="9" t="str">
        <f>IF($A115="","",(($B115+SUM($D115:$I115)+$J115+Settings!$B$3)/(1-Settings!$B$2))-$M115)</f>
        <v/>
      </c>
      <c r="X115" s="10" t="str">
        <f t="shared" si="13"/>
        <v/>
      </c>
      <c r="Y115" s="10" t="str">
        <f t="shared" si="14"/>
        <v/>
      </c>
      <c r="Z115" s="10" t="str">
        <f t="shared" si="15"/>
        <v/>
      </c>
      <c r="AA115" s="10" t="str">
        <f t="shared" si="16"/>
        <v/>
      </c>
      <c r="AC115" s="11"/>
      <c r="AD115" s="11"/>
      <c r="AE115" s="12" t="str">
        <f t="shared" si="17"/>
        <v/>
      </c>
    </row>
    <row r="116" spans="2:31" x14ac:dyDescent="0.25">
      <c r="B116" s="9"/>
      <c r="C116" t="s">
        <v>31</v>
      </c>
      <c r="D116" s="9" t="str">
        <f>IF($A116="","",1*'Material Costs'!$D$3)</f>
        <v/>
      </c>
      <c r="E116" s="9" t="str">
        <f>IF($A116="","",1*'Material Costs'!$D$2)</f>
        <v/>
      </c>
      <c r="F116" s="9" t="str">
        <f>IF($A116="","",IF($C116="Bubble Mailer",2,1)*'Material Costs'!$D$6)</f>
        <v/>
      </c>
      <c r="G116" s="9" t="str">
        <f>IF($A116="","",1*'Material Costs'!$D$7)</f>
        <v/>
      </c>
      <c r="H116" s="9" t="str">
        <f>IF($A116="","",IF($C116="Bubble Mailer",1,0)*'Material Costs'!$D$5)</f>
        <v/>
      </c>
      <c r="I116" s="9" t="str">
        <f>IF($A116="","",IF($C116="ESE (Ding Defend)",1,0)*'Material Costs'!$D$4)</f>
        <v/>
      </c>
      <c r="J116" s="9"/>
      <c r="K116" s="9" t="str">
        <f t="shared" si="9"/>
        <v/>
      </c>
      <c r="L116" s="9"/>
      <c r="M116" s="9"/>
      <c r="N116" s="9"/>
      <c r="O116" s="9" t="str">
        <f t="shared" si="10"/>
        <v/>
      </c>
      <c r="P116" s="9"/>
      <c r="Q116" s="9" t="str">
        <f>IF($A116="","",IF($O116="", "", ROUND($O116*Settings!$B$2+Settings!$B$3,2)))</f>
        <v/>
      </c>
      <c r="R116" s="9" t="str">
        <f>IF($A116="","",IF($L116="", "", Settings!$B$4))</f>
        <v/>
      </c>
      <c r="S116" s="9" t="str">
        <f t="shared" si="11"/>
        <v/>
      </c>
      <c r="T116" s="9" t="str">
        <f t="shared" si="12"/>
        <v/>
      </c>
      <c r="U116" s="9" t="str">
        <f>IF($A116="","",IF($K116="", "", ROUND((($K116 + Settings!$B$3 + $R116) - IF($M116="",0,$M116))/(1-Settings!$B$2),2)))</f>
        <v/>
      </c>
      <c r="V116" s="9" t="str">
        <f>IF($A116="","",$L116-($L116*Settings!$B$2)-$J116-($B116+SUM($D116:$I116)))</f>
        <v/>
      </c>
      <c r="W116" s="9" t="str">
        <f>IF($A116="","",(($B116+SUM($D116:$I116)+$J116+Settings!$B$3)/(1-Settings!$B$2))-$M116)</f>
        <v/>
      </c>
      <c r="X116" s="10" t="str">
        <f t="shared" si="13"/>
        <v/>
      </c>
      <c r="Y116" s="10" t="str">
        <f t="shared" si="14"/>
        <v/>
      </c>
      <c r="Z116" s="10" t="str">
        <f t="shared" si="15"/>
        <v/>
      </c>
      <c r="AA116" s="10" t="str">
        <f t="shared" si="16"/>
        <v/>
      </c>
      <c r="AC116" s="11"/>
      <c r="AD116" s="11"/>
      <c r="AE116" s="12" t="str">
        <f t="shared" si="17"/>
        <v/>
      </c>
    </row>
    <row r="117" spans="2:31" x14ac:dyDescent="0.25">
      <c r="B117" s="9"/>
      <c r="C117" t="s">
        <v>31</v>
      </c>
      <c r="D117" s="9" t="str">
        <f>IF($A117="","",1*'Material Costs'!$D$3)</f>
        <v/>
      </c>
      <c r="E117" s="9" t="str">
        <f>IF($A117="","",1*'Material Costs'!$D$2)</f>
        <v/>
      </c>
      <c r="F117" s="9" t="str">
        <f>IF($A117="","",IF($C117="Bubble Mailer",2,1)*'Material Costs'!$D$6)</f>
        <v/>
      </c>
      <c r="G117" s="9" t="str">
        <f>IF($A117="","",1*'Material Costs'!$D$7)</f>
        <v/>
      </c>
      <c r="H117" s="9" t="str">
        <f>IF($A117="","",IF($C117="Bubble Mailer",1,0)*'Material Costs'!$D$5)</f>
        <v/>
      </c>
      <c r="I117" s="9" t="str">
        <f>IF($A117="","",IF($C117="ESE (Ding Defend)",1,0)*'Material Costs'!$D$4)</f>
        <v/>
      </c>
      <c r="J117" s="9"/>
      <c r="K117" s="9" t="str">
        <f t="shared" si="9"/>
        <v/>
      </c>
      <c r="L117" s="9"/>
      <c r="M117" s="9"/>
      <c r="N117" s="9"/>
      <c r="O117" s="9" t="str">
        <f t="shared" si="10"/>
        <v/>
      </c>
      <c r="P117" s="9"/>
      <c r="Q117" s="9" t="str">
        <f>IF($A117="","",IF($O117="", "", ROUND($O117*Settings!$B$2+Settings!$B$3,2)))</f>
        <v/>
      </c>
      <c r="R117" s="9" t="str">
        <f>IF($A117="","",IF($L117="", "", Settings!$B$4))</f>
        <v/>
      </c>
      <c r="S117" s="9" t="str">
        <f t="shared" si="11"/>
        <v/>
      </c>
      <c r="T117" s="9" t="str">
        <f t="shared" si="12"/>
        <v/>
      </c>
      <c r="U117" s="9" t="str">
        <f>IF($A117="","",IF($K117="", "", ROUND((($K117 + Settings!$B$3 + $R117) - IF($M117="",0,$M117))/(1-Settings!$B$2),2)))</f>
        <v/>
      </c>
      <c r="V117" s="9" t="str">
        <f>IF($A117="","",$L117-($L117*Settings!$B$2)-$J117-($B117+SUM($D117:$I117)))</f>
        <v/>
      </c>
      <c r="W117" s="9" t="str">
        <f>IF($A117="","",(($B117+SUM($D117:$I117)+$J117+Settings!$B$3)/(1-Settings!$B$2))-$M117)</f>
        <v/>
      </c>
      <c r="X117" s="10" t="str">
        <f t="shared" si="13"/>
        <v/>
      </c>
      <c r="Y117" s="10" t="str">
        <f t="shared" si="14"/>
        <v/>
      </c>
      <c r="Z117" s="10" t="str">
        <f t="shared" si="15"/>
        <v/>
      </c>
      <c r="AA117" s="10" t="str">
        <f t="shared" si="16"/>
        <v/>
      </c>
      <c r="AC117" s="11"/>
      <c r="AD117" s="11"/>
      <c r="AE117" s="12" t="str">
        <f t="shared" si="17"/>
        <v/>
      </c>
    </row>
    <row r="118" spans="2:31" x14ac:dyDescent="0.25">
      <c r="B118" s="9"/>
      <c r="C118" t="s">
        <v>31</v>
      </c>
      <c r="D118" s="9" t="str">
        <f>IF($A118="","",1*'Material Costs'!$D$3)</f>
        <v/>
      </c>
      <c r="E118" s="9" t="str">
        <f>IF($A118="","",1*'Material Costs'!$D$2)</f>
        <v/>
      </c>
      <c r="F118" s="9" t="str">
        <f>IF($A118="","",IF($C118="Bubble Mailer",2,1)*'Material Costs'!$D$6)</f>
        <v/>
      </c>
      <c r="G118" s="9" t="str">
        <f>IF($A118="","",1*'Material Costs'!$D$7)</f>
        <v/>
      </c>
      <c r="H118" s="9" t="str">
        <f>IF($A118="","",IF($C118="Bubble Mailer",1,0)*'Material Costs'!$D$5)</f>
        <v/>
      </c>
      <c r="I118" s="9" t="str">
        <f>IF($A118="","",IF($C118="ESE (Ding Defend)",1,0)*'Material Costs'!$D$4)</f>
        <v/>
      </c>
      <c r="J118" s="9"/>
      <c r="K118" s="9" t="str">
        <f t="shared" si="9"/>
        <v/>
      </c>
      <c r="L118" s="9"/>
      <c r="M118" s="9"/>
      <c r="N118" s="9"/>
      <c r="O118" s="9" t="str">
        <f t="shared" si="10"/>
        <v/>
      </c>
      <c r="P118" s="9"/>
      <c r="Q118" s="9" t="str">
        <f>IF($A118="","",IF($O118="", "", ROUND($O118*Settings!$B$2+Settings!$B$3,2)))</f>
        <v/>
      </c>
      <c r="R118" s="9" t="str">
        <f>IF($A118="","",IF($L118="", "", Settings!$B$4))</f>
        <v/>
      </c>
      <c r="S118" s="9" t="str">
        <f t="shared" si="11"/>
        <v/>
      </c>
      <c r="T118" s="9" t="str">
        <f t="shared" si="12"/>
        <v/>
      </c>
      <c r="U118" s="9" t="str">
        <f>IF($A118="","",IF($K118="", "", ROUND((($K118 + Settings!$B$3 + $R118) - IF($M118="",0,$M118))/(1-Settings!$B$2),2)))</f>
        <v/>
      </c>
      <c r="V118" s="9" t="str">
        <f>IF($A118="","",$L118-($L118*Settings!$B$2)-$J118-($B118+SUM($D118:$I118)))</f>
        <v/>
      </c>
      <c r="W118" s="9" t="str">
        <f>IF($A118="","",(($B118+SUM($D118:$I118)+$J118+Settings!$B$3)/(1-Settings!$B$2))-$M118)</f>
        <v/>
      </c>
      <c r="X118" s="10" t="str">
        <f t="shared" si="13"/>
        <v/>
      </c>
      <c r="Y118" s="10" t="str">
        <f t="shared" si="14"/>
        <v/>
      </c>
      <c r="Z118" s="10" t="str">
        <f t="shared" si="15"/>
        <v/>
      </c>
      <c r="AA118" s="10" t="str">
        <f t="shared" si="16"/>
        <v/>
      </c>
      <c r="AC118" s="11"/>
      <c r="AD118" s="11"/>
      <c r="AE118" s="12" t="str">
        <f t="shared" si="17"/>
        <v/>
      </c>
    </row>
    <row r="119" spans="2:31" x14ac:dyDescent="0.25">
      <c r="B119" s="9"/>
      <c r="C119" t="s">
        <v>31</v>
      </c>
      <c r="D119" s="9" t="str">
        <f>IF($A119="","",1*'Material Costs'!$D$3)</f>
        <v/>
      </c>
      <c r="E119" s="9" t="str">
        <f>IF($A119="","",1*'Material Costs'!$D$2)</f>
        <v/>
      </c>
      <c r="F119" s="9" t="str">
        <f>IF($A119="","",IF($C119="Bubble Mailer",2,1)*'Material Costs'!$D$6)</f>
        <v/>
      </c>
      <c r="G119" s="9" t="str">
        <f>IF($A119="","",1*'Material Costs'!$D$7)</f>
        <v/>
      </c>
      <c r="H119" s="9" t="str">
        <f>IF($A119="","",IF($C119="Bubble Mailer",1,0)*'Material Costs'!$D$5)</f>
        <v/>
      </c>
      <c r="I119" s="9" t="str">
        <f>IF($A119="","",IF($C119="ESE (Ding Defend)",1,0)*'Material Costs'!$D$4)</f>
        <v/>
      </c>
      <c r="J119" s="9"/>
      <c r="K119" s="9" t="str">
        <f t="shared" si="9"/>
        <v/>
      </c>
      <c r="L119" s="9"/>
      <c r="M119" s="9"/>
      <c r="N119" s="9"/>
      <c r="O119" s="9" t="str">
        <f t="shared" si="10"/>
        <v/>
      </c>
      <c r="P119" s="9"/>
      <c r="Q119" s="9" t="str">
        <f>IF($A119="","",IF($O119="", "", ROUND($O119*Settings!$B$2+Settings!$B$3,2)))</f>
        <v/>
      </c>
      <c r="R119" s="9" t="str">
        <f>IF($A119="","",IF($L119="", "", Settings!$B$4))</f>
        <v/>
      </c>
      <c r="S119" s="9" t="str">
        <f t="shared" si="11"/>
        <v/>
      </c>
      <c r="T119" s="9" t="str">
        <f t="shared" si="12"/>
        <v/>
      </c>
      <c r="U119" s="9" t="str">
        <f>IF($A119="","",IF($K119="", "", ROUND((($K119 + Settings!$B$3 + $R119) - IF($M119="",0,$M119))/(1-Settings!$B$2),2)))</f>
        <v/>
      </c>
      <c r="V119" s="9" t="str">
        <f>IF($A119="","",$L119-($L119*Settings!$B$2)-$J119-($B119+SUM($D119:$I119)))</f>
        <v/>
      </c>
      <c r="W119" s="9" t="str">
        <f>IF($A119="","",(($B119+SUM($D119:$I119)+$J119+Settings!$B$3)/(1-Settings!$B$2))-$M119)</f>
        <v/>
      </c>
      <c r="X119" s="10" t="str">
        <f t="shared" si="13"/>
        <v/>
      </c>
      <c r="Y119" s="10" t="str">
        <f t="shared" si="14"/>
        <v/>
      </c>
      <c r="Z119" s="10" t="str">
        <f t="shared" si="15"/>
        <v/>
      </c>
      <c r="AA119" s="10" t="str">
        <f t="shared" si="16"/>
        <v/>
      </c>
      <c r="AC119" s="11"/>
      <c r="AD119" s="11"/>
      <c r="AE119" s="12" t="str">
        <f t="shared" si="17"/>
        <v/>
      </c>
    </row>
    <row r="120" spans="2:31" x14ac:dyDescent="0.25">
      <c r="B120" s="9"/>
      <c r="C120" t="s">
        <v>31</v>
      </c>
      <c r="D120" s="9" t="str">
        <f>IF($A120="","",1*'Material Costs'!$D$3)</f>
        <v/>
      </c>
      <c r="E120" s="9" t="str">
        <f>IF($A120="","",1*'Material Costs'!$D$2)</f>
        <v/>
      </c>
      <c r="F120" s="9" t="str">
        <f>IF($A120="","",IF($C120="Bubble Mailer",2,1)*'Material Costs'!$D$6)</f>
        <v/>
      </c>
      <c r="G120" s="9" t="str">
        <f>IF($A120="","",1*'Material Costs'!$D$7)</f>
        <v/>
      </c>
      <c r="H120" s="9" t="str">
        <f>IF($A120="","",IF($C120="Bubble Mailer",1,0)*'Material Costs'!$D$5)</f>
        <v/>
      </c>
      <c r="I120" s="9" t="str">
        <f>IF($A120="","",IF($C120="ESE (Ding Defend)",1,0)*'Material Costs'!$D$4)</f>
        <v/>
      </c>
      <c r="J120" s="9"/>
      <c r="K120" s="9" t="str">
        <f t="shared" si="9"/>
        <v/>
      </c>
      <c r="L120" s="9"/>
      <c r="M120" s="9"/>
      <c r="N120" s="9"/>
      <c r="O120" s="9" t="str">
        <f t="shared" si="10"/>
        <v/>
      </c>
      <c r="P120" s="9"/>
      <c r="Q120" s="9" t="str">
        <f>IF($A120="","",IF($O120="", "", ROUND($O120*Settings!$B$2+Settings!$B$3,2)))</f>
        <v/>
      </c>
      <c r="R120" s="9" t="str">
        <f>IF($A120="","",IF($L120="", "", Settings!$B$4))</f>
        <v/>
      </c>
      <c r="S120" s="9" t="str">
        <f t="shared" si="11"/>
        <v/>
      </c>
      <c r="T120" s="9" t="str">
        <f t="shared" si="12"/>
        <v/>
      </c>
      <c r="U120" s="9" t="str">
        <f>IF($A120="","",IF($K120="", "", ROUND((($K120 + Settings!$B$3 + $R120) - IF($M120="",0,$M120))/(1-Settings!$B$2),2)))</f>
        <v/>
      </c>
      <c r="V120" s="9" t="str">
        <f>IF($A120="","",$L120-($L120*Settings!$B$2)-$J120-($B120+SUM($D120:$I120)))</f>
        <v/>
      </c>
      <c r="W120" s="9" t="str">
        <f>IF($A120="","",(($B120+SUM($D120:$I120)+$J120+Settings!$B$3)/(1-Settings!$B$2))-$M120)</f>
        <v/>
      </c>
      <c r="X120" s="10" t="str">
        <f t="shared" si="13"/>
        <v/>
      </c>
      <c r="Y120" s="10" t="str">
        <f t="shared" si="14"/>
        <v/>
      </c>
      <c r="Z120" s="10" t="str">
        <f t="shared" si="15"/>
        <v/>
      </c>
      <c r="AA120" s="10" t="str">
        <f t="shared" si="16"/>
        <v/>
      </c>
      <c r="AC120" s="11"/>
      <c r="AD120" s="11"/>
      <c r="AE120" s="12" t="str">
        <f t="shared" si="17"/>
        <v/>
      </c>
    </row>
    <row r="121" spans="2:31" x14ac:dyDescent="0.25">
      <c r="B121" s="9"/>
      <c r="C121" t="s">
        <v>31</v>
      </c>
      <c r="D121" s="9" t="str">
        <f>IF($A121="","",1*'Material Costs'!$D$3)</f>
        <v/>
      </c>
      <c r="E121" s="9" t="str">
        <f>IF($A121="","",1*'Material Costs'!$D$2)</f>
        <v/>
      </c>
      <c r="F121" s="9" t="str">
        <f>IF($A121="","",IF($C121="Bubble Mailer",2,1)*'Material Costs'!$D$6)</f>
        <v/>
      </c>
      <c r="G121" s="9" t="str">
        <f>IF($A121="","",1*'Material Costs'!$D$7)</f>
        <v/>
      </c>
      <c r="H121" s="9" t="str">
        <f>IF($A121="","",IF($C121="Bubble Mailer",1,0)*'Material Costs'!$D$5)</f>
        <v/>
      </c>
      <c r="I121" s="9" t="str">
        <f>IF($A121="","",IF($C121="ESE (Ding Defend)",1,0)*'Material Costs'!$D$4)</f>
        <v/>
      </c>
      <c r="J121" s="9"/>
      <c r="K121" s="9" t="str">
        <f t="shared" si="9"/>
        <v/>
      </c>
      <c r="L121" s="9"/>
      <c r="M121" s="9"/>
      <c r="N121" s="9"/>
      <c r="O121" s="9" t="str">
        <f t="shared" si="10"/>
        <v/>
      </c>
      <c r="P121" s="9"/>
      <c r="Q121" s="9" t="str">
        <f>IF($A121="","",IF($O121="", "", ROUND($O121*Settings!$B$2+Settings!$B$3,2)))</f>
        <v/>
      </c>
      <c r="R121" s="9" t="str">
        <f>IF($A121="","",IF($L121="", "", Settings!$B$4))</f>
        <v/>
      </c>
      <c r="S121" s="9" t="str">
        <f t="shared" si="11"/>
        <v/>
      </c>
      <c r="T121" s="9" t="str">
        <f t="shared" si="12"/>
        <v/>
      </c>
      <c r="U121" s="9" t="str">
        <f>IF($A121="","",IF($K121="", "", ROUND((($K121 + Settings!$B$3 + $R121) - IF($M121="",0,$M121))/(1-Settings!$B$2),2)))</f>
        <v/>
      </c>
      <c r="V121" s="9" t="str">
        <f>IF($A121="","",$L121-($L121*Settings!$B$2)-$J121-($B121+SUM($D121:$I121)))</f>
        <v/>
      </c>
      <c r="W121" s="9" t="str">
        <f>IF($A121="","",(($B121+SUM($D121:$I121)+$J121+Settings!$B$3)/(1-Settings!$B$2))-$M121)</f>
        <v/>
      </c>
      <c r="X121" s="10" t="str">
        <f t="shared" si="13"/>
        <v/>
      </c>
      <c r="Y121" s="10" t="str">
        <f t="shared" si="14"/>
        <v/>
      </c>
      <c r="Z121" s="10" t="str">
        <f t="shared" si="15"/>
        <v/>
      </c>
      <c r="AA121" s="10" t="str">
        <f t="shared" si="16"/>
        <v/>
      </c>
      <c r="AC121" s="11"/>
      <c r="AD121" s="11"/>
      <c r="AE121" s="12" t="str">
        <f t="shared" si="17"/>
        <v/>
      </c>
    </row>
    <row r="122" spans="2:31" x14ac:dyDescent="0.25">
      <c r="B122" s="9"/>
      <c r="C122" t="s">
        <v>31</v>
      </c>
      <c r="D122" s="9" t="str">
        <f>IF($A122="","",1*'Material Costs'!$D$3)</f>
        <v/>
      </c>
      <c r="E122" s="9" t="str">
        <f>IF($A122="","",1*'Material Costs'!$D$2)</f>
        <v/>
      </c>
      <c r="F122" s="9" t="str">
        <f>IF($A122="","",IF($C122="Bubble Mailer",2,1)*'Material Costs'!$D$6)</f>
        <v/>
      </c>
      <c r="G122" s="9" t="str">
        <f>IF($A122="","",1*'Material Costs'!$D$7)</f>
        <v/>
      </c>
      <c r="H122" s="9" t="str">
        <f>IF($A122="","",IF($C122="Bubble Mailer",1,0)*'Material Costs'!$D$5)</f>
        <v/>
      </c>
      <c r="I122" s="9" t="str">
        <f>IF($A122="","",IF($C122="ESE (Ding Defend)",1,0)*'Material Costs'!$D$4)</f>
        <v/>
      </c>
      <c r="J122" s="9"/>
      <c r="K122" s="9" t="str">
        <f t="shared" si="9"/>
        <v/>
      </c>
      <c r="L122" s="9"/>
      <c r="M122" s="9"/>
      <c r="N122" s="9"/>
      <c r="O122" s="9" t="str">
        <f t="shared" si="10"/>
        <v/>
      </c>
      <c r="P122" s="9"/>
      <c r="Q122" s="9" t="str">
        <f>IF($A122="","",IF($O122="", "", ROUND($O122*Settings!$B$2+Settings!$B$3,2)))</f>
        <v/>
      </c>
      <c r="R122" s="9" t="str">
        <f>IF($A122="","",IF($L122="", "", Settings!$B$4))</f>
        <v/>
      </c>
      <c r="S122" s="9" t="str">
        <f t="shared" si="11"/>
        <v/>
      </c>
      <c r="T122" s="9" t="str">
        <f t="shared" si="12"/>
        <v/>
      </c>
      <c r="U122" s="9" t="str">
        <f>IF($A122="","",IF($K122="", "", ROUND((($K122 + Settings!$B$3 + $R122) - IF($M122="",0,$M122))/(1-Settings!$B$2),2)))</f>
        <v/>
      </c>
      <c r="V122" s="9" t="str">
        <f>IF($A122="","",$L122-($L122*Settings!$B$2)-$J122-($B122+SUM($D122:$I122)))</f>
        <v/>
      </c>
      <c r="W122" s="9" t="str">
        <f>IF($A122="","",(($B122+SUM($D122:$I122)+$J122+Settings!$B$3)/(1-Settings!$B$2))-$M122)</f>
        <v/>
      </c>
      <c r="X122" s="10" t="str">
        <f t="shared" si="13"/>
        <v/>
      </c>
      <c r="Y122" s="10" t="str">
        <f t="shared" si="14"/>
        <v/>
      </c>
      <c r="Z122" s="10" t="str">
        <f t="shared" si="15"/>
        <v/>
      </c>
      <c r="AA122" s="10" t="str">
        <f t="shared" si="16"/>
        <v/>
      </c>
      <c r="AC122" s="11"/>
      <c r="AD122" s="11"/>
      <c r="AE122" s="12" t="str">
        <f t="shared" si="17"/>
        <v/>
      </c>
    </row>
    <row r="123" spans="2:31" x14ac:dyDescent="0.25">
      <c r="B123" s="9"/>
      <c r="C123" t="s">
        <v>31</v>
      </c>
      <c r="D123" s="9" t="str">
        <f>IF($A123="","",1*'Material Costs'!$D$3)</f>
        <v/>
      </c>
      <c r="E123" s="9" t="str">
        <f>IF($A123="","",1*'Material Costs'!$D$2)</f>
        <v/>
      </c>
      <c r="F123" s="9" t="str">
        <f>IF($A123="","",IF($C123="Bubble Mailer",2,1)*'Material Costs'!$D$6)</f>
        <v/>
      </c>
      <c r="G123" s="9" t="str">
        <f>IF($A123="","",1*'Material Costs'!$D$7)</f>
        <v/>
      </c>
      <c r="H123" s="9" t="str">
        <f>IF($A123="","",IF($C123="Bubble Mailer",1,0)*'Material Costs'!$D$5)</f>
        <v/>
      </c>
      <c r="I123" s="9" t="str">
        <f>IF($A123="","",IF($C123="ESE (Ding Defend)",1,0)*'Material Costs'!$D$4)</f>
        <v/>
      </c>
      <c r="J123" s="9"/>
      <c r="K123" s="9" t="str">
        <f t="shared" si="9"/>
        <v/>
      </c>
      <c r="L123" s="9"/>
      <c r="M123" s="9"/>
      <c r="N123" s="9"/>
      <c r="O123" s="9" t="str">
        <f t="shared" si="10"/>
        <v/>
      </c>
      <c r="P123" s="9"/>
      <c r="Q123" s="9" t="str">
        <f>IF($A123="","",IF($O123="", "", ROUND($O123*Settings!$B$2+Settings!$B$3,2)))</f>
        <v/>
      </c>
      <c r="R123" s="9" t="str">
        <f>IF($A123="","",IF($L123="", "", Settings!$B$4))</f>
        <v/>
      </c>
      <c r="S123" s="9" t="str">
        <f t="shared" si="11"/>
        <v/>
      </c>
      <c r="T123" s="9" t="str">
        <f t="shared" si="12"/>
        <v/>
      </c>
      <c r="U123" s="9" t="str">
        <f>IF($A123="","",IF($K123="", "", ROUND((($K123 + Settings!$B$3 + $R123) - IF($M123="",0,$M123))/(1-Settings!$B$2),2)))</f>
        <v/>
      </c>
      <c r="V123" s="9" t="str">
        <f>IF($A123="","",$L123-($L123*Settings!$B$2)-$J123-($B123+SUM($D123:$I123)))</f>
        <v/>
      </c>
      <c r="W123" s="9" t="str">
        <f>IF($A123="","",(($B123+SUM($D123:$I123)+$J123+Settings!$B$3)/(1-Settings!$B$2))-$M123)</f>
        <v/>
      </c>
      <c r="X123" s="10" t="str">
        <f t="shared" si="13"/>
        <v/>
      </c>
      <c r="Y123" s="10" t="str">
        <f t="shared" si="14"/>
        <v/>
      </c>
      <c r="Z123" s="10" t="str">
        <f t="shared" si="15"/>
        <v/>
      </c>
      <c r="AA123" s="10" t="str">
        <f t="shared" si="16"/>
        <v/>
      </c>
      <c r="AC123" s="11"/>
      <c r="AD123" s="11"/>
      <c r="AE123" s="12" t="str">
        <f t="shared" si="17"/>
        <v/>
      </c>
    </row>
    <row r="124" spans="2:31" x14ac:dyDescent="0.25">
      <c r="B124" s="9"/>
      <c r="C124" t="s">
        <v>31</v>
      </c>
      <c r="D124" s="9" t="str">
        <f>IF($A124="","",1*'Material Costs'!$D$3)</f>
        <v/>
      </c>
      <c r="E124" s="9" t="str">
        <f>IF($A124="","",1*'Material Costs'!$D$2)</f>
        <v/>
      </c>
      <c r="F124" s="9" t="str">
        <f>IF($A124="","",IF($C124="Bubble Mailer",2,1)*'Material Costs'!$D$6)</f>
        <v/>
      </c>
      <c r="G124" s="9" t="str">
        <f>IF($A124="","",1*'Material Costs'!$D$7)</f>
        <v/>
      </c>
      <c r="H124" s="9" t="str">
        <f>IF($A124="","",IF($C124="Bubble Mailer",1,0)*'Material Costs'!$D$5)</f>
        <v/>
      </c>
      <c r="I124" s="9" t="str">
        <f>IF($A124="","",IF($C124="ESE (Ding Defend)",1,0)*'Material Costs'!$D$4)</f>
        <v/>
      </c>
      <c r="J124" s="9"/>
      <c r="K124" s="9" t="str">
        <f t="shared" si="9"/>
        <v/>
      </c>
      <c r="L124" s="9"/>
      <c r="M124" s="9"/>
      <c r="N124" s="9"/>
      <c r="O124" s="9" t="str">
        <f t="shared" si="10"/>
        <v/>
      </c>
      <c r="P124" s="9"/>
      <c r="Q124" s="9" t="str">
        <f>IF($A124="","",IF($O124="", "", ROUND($O124*Settings!$B$2+Settings!$B$3,2)))</f>
        <v/>
      </c>
      <c r="R124" s="9" t="str">
        <f>IF($A124="","",IF($L124="", "", Settings!$B$4))</f>
        <v/>
      </c>
      <c r="S124" s="9" t="str">
        <f t="shared" si="11"/>
        <v/>
      </c>
      <c r="T124" s="9" t="str">
        <f t="shared" si="12"/>
        <v/>
      </c>
      <c r="U124" s="9" t="str">
        <f>IF($A124="","",IF($K124="", "", ROUND((($K124 + Settings!$B$3 + $R124) - IF($M124="",0,$M124))/(1-Settings!$B$2),2)))</f>
        <v/>
      </c>
      <c r="V124" s="9" t="str">
        <f>IF($A124="","",$L124-($L124*Settings!$B$2)-$J124-($B124+SUM($D124:$I124)))</f>
        <v/>
      </c>
      <c r="W124" s="9" t="str">
        <f>IF($A124="","",(($B124+SUM($D124:$I124)+$J124+Settings!$B$3)/(1-Settings!$B$2))-$M124)</f>
        <v/>
      </c>
      <c r="X124" s="10" t="str">
        <f t="shared" si="13"/>
        <v/>
      </c>
      <c r="Y124" s="10" t="str">
        <f t="shared" si="14"/>
        <v/>
      </c>
      <c r="Z124" s="10" t="str">
        <f t="shared" si="15"/>
        <v/>
      </c>
      <c r="AA124" s="10" t="str">
        <f t="shared" si="16"/>
        <v/>
      </c>
      <c r="AC124" s="11"/>
      <c r="AD124" s="11"/>
      <c r="AE124" s="12" t="str">
        <f t="shared" si="17"/>
        <v/>
      </c>
    </row>
    <row r="125" spans="2:31" x14ac:dyDescent="0.25">
      <c r="B125" s="9"/>
      <c r="C125" t="s">
        <v>31</v>
      </c>
      <c r="D125" s="9" t="str">
        <f>IF($A125="","",1*'Material Costs'!$D$3)</f>
        <v/>
      </c>
      <c r="E125" s="9" t="str">
        <f>IF($A125="","",1*'Material Costs'!$D$2)</f>
        <v/>
      </c>
      <c r="F125" s="9" t="str">
        <f>IF($A125="","",IF($C125="Bubble Mailer",2,1)*'Material Costs'!$D$6)</f>
        <v/>
      </c>
      <c r="G125" s="9" t="str">
        <f>IF($A125="","",1*'Material Costs'!$D$7)</f>
        <v/>
      </c>
      <c r="H125" s="9" t="str">
        <f>IF($A125="","",IF($C125="Bubble Mailer",1,0)*'Material Costs'!$D$5)</f>
        <v/>
      </c>
      <c r="I125" s="9" t="str">
        <f>IF($A125="","",IF($C125="ESE (Ding Defend)",1,0)*'Material Costs'!$D$4)</f>
        <v/>
      </c>
      <c r="J125" s="9"/>
      <c r="K125" s="9" t="str">
        <f t="shared" si="9"/>
        <v/>
      </c>
      <c r="L125" s="9"/>
      <c r="M125" s="9"/>
      <c r="N125" s="9"/>
      <c r="O125" s="9" t="str">
        <f t="shared" si="10"/>
        <v/>
      </c>
      <c r="P125" s="9"/>
      <c r="Q125" s="9" t="str">
        <f>IF($A125="","",IF($O125="", "", ROUND($O125*Settings!$B$2+Settings!$B$3,2)))</f>
        <v/>
      </c>
      <c r="R125" s="9" t="str">
        <f>IF($A125="","",IF($L125="", "", Settings!$B$4))</f>
        <v/>
      </c>
      <c r="S125" s="9" t="str">
        <f t="shared" si="11"/>
        <v/>
      </c>
      <c r="T125" s="9" t="str">
        <f t="shared" si="12"/>
        <v/>
      </c>
      <c r="U125" s="9" t="str">
        <f>IF($A125="","",IF($K125="", "", ROUND((($K125 + Settings!$B$3 + $R125) - IF($M125="",0,$M125))/(1-Settings!$B$2),2)))</f>
        <v/>
      </c>
      <c r="V125" s="9" t="str">
        <f>IF($A125="","",$L125-($L125*Settings!$B$2)-$J125-($B125+SUM($D125:$I125)))</f>
        <v/>
      </c>
      <c r="W125" s="9" t="str">
        <f>IF($A125="","",(($B125+SUM($D125:$I125)+$J125+Settings!$B$3)/(1-Settings!$B$2))-$M125)</f>
        <v/>
      </c>
      <c r="X125" s="10" t="str">
        <f t="shared" si="13"/>
        <v/>
      </c>
      <c r="Y125" s="10" t="str">
        <f t="shared" si="14"/>
        <v/>
      </c>
      <c r="Z125" s="10" t="str">
        <f t="shared" si="15"/>
        <v/>
      </c>
      <c r="AA125" s="10" t="str">
        <f t="shared" si="16"/>
        <v/>
      </c>
      <c r="AC125" s="11"/>
      <c r="AD125" s="11"/>
      <c r="AE125" s="12" t="str">
        <f t="shared" si="17"/>
        <v/>
      </c>
    </row>
    <row r="126" spans="2:31" x14ac:dyDescent="0.25">
      <c r="B126" s="9"/>
      <c r="C126" t="s">
        <v>31</v>
      </c>
      <c r="D126" s="9" t="str">
        <f>IF($A126="","",1*'Material Costs'!$D$3)</f>
        <v/>
      </c>
      <c r="E126" s="9" t="str">
        <f>IF($A126="","",1*'Material Costs'!$D$2)</f>
        <v/>
      </c>
      <c r="F126" s="9" t="str">
        <f>IF($A126="","",IF($C126="Bubble Mailer",2,1)*'Material Costs'!$D$6)</f>
        <v/>
      </c>
      <c r="G126" s="9" t="str">
        <f>IF($A126="","",1*'Material Costs'!$D$7)</f>
        <v/>
      </c>
      <c r="H126" s="9" t="str">
        <f>IF($A126="","",IF($C126="Bubble Mailer",1,0)*'Material Costs'!$D$5)</f>
        <v/>
      </c>
      <c r="I126" s="9" t="str">
        <f>IF($A126="","",IF($C126="ESE (Ding Defend)",1,0)*'Material Costs'!$D$4)</f>
        <v/>
      </c>
      <c r="J126" s="9"/>
      <c r="K126" s="9" t="str">
        <f t="shared" si="9"/>
        <v/>
      </c>
      <c r="L126" s="9"/>
      <c r="M126" s="9"/>
      <c r="N126" s="9"/>
      <c r="O126" s="9" t="str">
        <f t="shared" si="10"/>
        <v/>
      </c>
      <c r="P126" s="9"/>
      <c r="Q126" s="9" t="str">
        <f>IF($A126="","",IF($O126="", "", ROUND($O126*Settings!$B$2+Settings!$B$3,2)))</f>
        <v/>
      </c>
      <c r="R126" s="9" t="str">
        <f>IF($A126="","",IF($L126="", "", Settings!$B$4))</f>
        <v/>
      </c>
      <c r="S126" s="9" t="str">
        <f t="shared" si="11"/>
        <v/>
      </c>
      <c r="T126" s="9" t="str">
        <f t="shared" si="12"/>
        <v/>
      </c>
      <c r="U126" s="9" t="str">
        <f>IF($A126="","",IF($K126="", "", ROUND((($K126 + Settings!$B$3 + $R126) - IF($M126="",0,$M126))/(1-Settings!$B$2),2)))</f>
        <v/>
      </c>
      <c r="V126" s="9" t="str">
        <f>IF($A126="","",$L126-($L126*Settings!$B$2)-$J126-($B126+SUM($D126:$I126)))</f>
        <v/>
      </c>
      <c r="W126" s="9" t="str">
        <f>IF($A126="","",(($B126+SUM($D126:$I126)+$J126+Settings!$B$3)/(1-Settings!$B$2))-$M126)</f>
        <v/>
      </c>
      <c r="X126" s="10" t="str">
        <f t="shared" si="13"/>
        <v/>
      </c>
      <c r="Y126" s="10" t="str">
        <f t="shared" si="14"/>
        <v/>
      </c>
      <c r="Z126" s="10" t="str">
        <f t="shared" si="15"/>
        <v/>
      </c>
      <c r="AA126" s="10" t="str">
        <f t="shared" si="16"/>
        <v/>
      </c>
      <c r="AC126" s="11"/>
      <c r="AD126" s="11"/>
      <c r="AE126" s="12" t="str">
        <f t="shared" si="17"/>
        <v/>
      </c>
    </row>
    <row r="127" spans="2:31" x14ac:dyDescent="0.25">
      <c r="B127" s="9"/>
      <c r="C127" t="s">
        <v>31</v>
      </c>
      <c r="D127" s="9" t="str">
        <f>IF($A127="","",1*'Material Costs'!$D$3)</f>
        <v/>
      </c>
      <c r="E127" s="9" t="str">
        <f>IF($A127="","",1*'Material Costs'!$D$2)</f>
        <v/>
      </c>
      <c r="F127" s="9" t="str">
        <f>IF($A127="","",IF($C127="Bubble Mailer",2,1)*'Material Costs'!$D$6)</f>
        <v/>
      </c>
      <c r="G127" s="9" t="str">
        <f>IF($A127="","",1*'Material Costs'!$D$7)</f>
        <v/>
      </c>
      <c r="H127" s="9" t="str">
        <f>IF($A127="","",IF($C127="Bubble Mailer",1,0)*'Material Costs'!$D$5)</f>
        <v/>
      </c>
      <c r="I127" s="9" t="str">
        <f>IF($A127="","",IF($C127="ESE (Ding Defend)",1,0)*'Material Costs'!$D$4)</f>
        <v/>
      </c>
      <c r="J127" s="9"/>
      <c r="K127" s="9" t="str">
        <f t="shared" si="9"/>
        <v/>
      </c>
      <c r="L127" s="9"/>
      <c r="M127" s="9"/>
      <c r="N127" s="9"/>
      <c r="O127" s="9" t="str">
        <f t="shared" si="10"/>
        <v/>
      </c>
      <c r="P127" s="9"/>
      <c r="Q127" s="9" t="str">
        <f>IF($A127="","",IF($O127="", "", ROUND($O127*Settings!$B$2+Settings!$B$3,2)))</f>
        <v/>
      </c>
      <c r="R127" s="9" t="str">
        <f>IF($A127="","",IF($L127="", "", Settings!$B$4))</f>
        <v/>
      </c>
      <c r="S127" s="9" t="str">
        <f t="shared" si="11"/>
        <v/>
      </c>
      <c r="T127" s="9" t="str">
        <f t="shared" si="12"/>
        <v/>
      </c>
      <c r="U127" s="9" t="str">
        <f>IF($A127="","",IF($K127="", "", ROUND((($K127 + Settings!$B$3 + $R127) - IF($M127="",0,$M127))/(1-Settings!$B$2),2)))</f>
        <v/>
      </c>
      <c r="V127" s="9" t="str">
        <f>IF($A127="","",$L127-($L127*Settings!$B$2)-$J127-($B127+SUM($D127:$I127)))</f>
        <v/>
      </c>
      <c r="W127" s="9" t="str">
        <f>IF($A127="","",(($B127+SUM($D127:$I127)+$J127+Settings!$B$3)/(1-Settings!$B$2))-$M127)</f>
        <v/>
      </c>
      <c r="X127" s="10" t="str">
        <f t="shared" si="13"/>
        <v/>
      </c>
      <c r="Y127" s="10" t="str">
        <f t="shared" si="14"/>
        <v/>
      </c>
      <c r="Z127" s="10" t="str">
        <f t="shared" si="15"/>
        <v/>
      </c>
      <c r="AA127" s="10" t="str">
        <f t="shared" si="16"/>
        <v/>
      </c>
      <c r="AC127" s="11"/>
      <c r="AD127" s="11"/>
      <c r="AE127" s="12" t="str">
        <f t="shared" si="17"/>
        <v/>
      </c>
    </row>
    <row r="128" spans="2:31" x14ac:dyDescent="0.25">
      <c r="B128" s="9"/>
      <c r="C128" t="s">
        <v>31</v>
      </c>
      <c r="D128" s="9" t="str">
        <f>IF($A128="","",1*'Material Costs'!$D$3)</f>
        <v/>
      </c>
      <c r="E128" s="9" t="str">
        <f>IF($A128="","",1*'Material Costs'!$D$2)</f>
        <v/>
      </c>
      <c r="F128" s="9" t="str">
        <f>IF($A128="","",IF($C128="Bubble Mailer",2,1)*'Material Costs'!$D$6)</f>
        <v/>
      </c>
      <c r="G128" s="9" t="str">
        <f>IF($A128="","",1*'Material Costs'!$D$7)</f>
        <v/>
      </c>
      <c r="H128" s="9" t="str">
        <f>IF($A128="","",IF($C128="Bubble Mailer",1,0)*'Material Costs'!$D$5)</f>
        <v/>
      </c>
      <c r="I128" s="9" t="str">
        <f>IF($A128="","",IF($C128="ESE (Ding Defend)",1,0)*'Material Costs'!$D$4)</f>
        <v/>
      </c>
      <c r="J128" s="9"/>
      <c r="K128" s="9" t="str">
        <f t="shared" si="9"/>
        <v/>
      </c>
      <c r="L128" s="9"/>
      <c r="M128" s="9"/>
      <c r="N128" s="9"/>
      <c r="O128" s="9" t="str">
        <f t="shared" si="10"/>
        <v/>
      </c>
      <c r="P128" s="9"/>
      <c r="Q128" s="9" t="str">
        <f>IF($A128="","",IF($O128="", "", ROUND($O128*Settings!$B$2+Settings!$B$3,2)))</f>
        <v/>
      </c>
      <c r="R128" s="9" t="str">
        <f>IF($A128="","",IF($L128="", "", Settings!$B$4))</f>
        <v/>
      </c>
      <c r="S128" s="9" t="str">
        <f t="shared" si="11"/>
        <v/>
      </c>
      <c r="T128" s="9" t="str">
        <f t="shared" si="12"/>
        <v/>
      </c>
      <c r="U128" s="9" t="str">
        <f>IF($A128="","",IF($K128="", "", ROUND((($K128 + Settings!$B$3 + $R128) - IF($M128="",0,$M128))/(1-Settings!$B$2),2)))</f>
        <v/>
      </c>
      <c r="V128" s="9" t="str">
        <f>IF($A128="","",$L128-($L128*Settings!$B$2)-$J128-($B128+SUM($D128:$I128)))</f>
        <v/>
      </c>
      <c r="W128" s="9" t="str">
        <f>IF($A128="","",(($B128+SUM($D128:$I128)+$J128+Settings!$B$3)/(1-Settings!$B$2))-$M128)</f>
        <v/>
      </c>
      <c r="X128" s="10" t="str">
        <f t="shared" si="13"/>
        <v/>
      </c>
      <c r="Y128" s="10" t="str">
        <f t="shared" si="14"/>
        <v/>
      </c>
      <c r="Z128" s="10" t="str">
        <f t="shared" si="15"/>
        <v/>
      </c>
      <c r="AA128" s="10" t="str">
        <f t="shared" si="16"/>
        <v/>
      </c>
      <c r="AC128" s="11"/>
      <c r="AD128" s="11"/>
      <c r="AE128" s="12" t="str">
        <f t="shared" si="17"/>
        <v/>
      </c>
    </row>
    <row r="129" spans="2:31" x14ac:dyDescent="0.25">
      <c r="B129" s="9"/>
      <c r="C129" t="s">
        <v>31</v>
      </c>
      <c r="D129" s="9" t="str">
        <f>IF($A129="","",1*'Material Costs'!$D$3)</f>
        <v/>
      </c>
      <c r="E129" s="9" t="str">
        <f>IF($A129="","",1*'Material Costs'!$D$2)</f>
        <v/>
      </c>
      <c r="F129" s="9" t="str">
        <f>IF($A129="","",IF($C129="Bubble Mailer",2,1)*'Material Costs'!$D$6)</f>
        <v/>
      </c>
      <c r="G129" s="9" t="str">
        <f>IF($A129="","",1*'Material Costs'!$D$7)</f>
        <v/>
      </c>
      <c r="H129" s="9" t="str">
        <f>IF($A129="","",IF($C129="Bubble Mailer",1,0)*'Material Costs'!$D$5)</f>
        <v/>
      </c>
      <c r="I129" s="9" t="str">
        <f>IF($A129="","",IF($C129="ESE (Ding Defend)",1,0)*'Material Costs'!$D$4)</f>
        <v/>
      </c>
      <c r="J129" s="9"/>
      <c r="K129" s="9" t="str">
        <f t="shared" ref="K129:K192" si="18">IF($A129="","",SUM($B129:$J129))</f>
        <v/>
      </c>
      <c r="L129" s="9"/>
      <c r="M129" s="9"/>
      <c r="N129" s="9"/>
      <c r="O129" s="9" t="str">
        <f t="shared" ref="O129:O192" si="19">IF($A129="","",SUM($L129:$N129))</f>
        <v/>
      </c>
      <c r="P129" s="9"/>
      <c r="Q129" s="9" t="str">
        <f>IF($A129="","",IF($O129="", "", ROUND($O129*Settings!$B$2+Settings!$B$3,2)))</f>
        <v/>
      </c>
      <c r="R129" s="9" t="str">
        <f>IF($A129="","",IF($L129="", "", Settings!$B$4))</f>
        <v/>
      </c>
      <c r="S129" s="9" t="str">
        <f t="shared" ref="S129:S192" si="20">IF($A129="","",IF($O129="", "", ROUND($O129 - IF($P129&lt;&gt;"",$P129,$Q129) - $R129,2)))</f>
        <v/>
      </c>
      <c r="T129" s="9" t="str">
        <f t="shared" ref="T129:T192" si="21">IF($A129="","",IF($S129="", "", ROUND($S129 - $K129,2)))</f>
        <v/>
      </c>
      <c r="U129" s="9" t="str">
        <f>IF($A129="","",IF($K129="", "", ROUND((($K129 + Settings!$B$3 + $R129) - IF($M129="",0,$M129))/(1-Settings!$B$2),2)))</f>
        <v/>
      </c>
      <c r="V129" s="9" t="str">
        <f>IF($A129="","",$L129-($L129*Settings!$B$2)-$J129-($B129+SUM($D129:$I129)))</f>
        <v/>
      </c>
      <c r="W129" s="9" t="str">
        <f>IF($A129="","",(($B129+SUM($D129:$I129)+$J129+Settings!$B$3)/(1-Settings!$B$2))-$M129)</f>
        <v/>
      </c>
      <c r="X129" s="10" t="str">
        <f t="shared" ref="X129:X192" si="22">IF($A129="","",IF($O129="", "", IFERROR($T129/$O129, "")))</f>
        <v/>
      </c>
      <c r="Y129" s="10" t="str">
        <f t="shared" ref="Y129:Y192" si="23">IF($A129="","",IF($K129="", "", IFERROR($T129/$K129, "")))</f>
        <v/>
      </c>
      <c r="Z129" s="10" t="str">
        <f t="shared" ref="Z129:Z192" si="24">IF($A129="","",IF($O129="", "", IFERROR($Q129/$O129, "")))</f>
        <v/>
      </c>
      <c r="AA129" s="10" t="str">
        <f t="shared" ref="AA129:AA192" si="25">IF($A129="","",IF($L129="", "", IFERROR($T129/$L129, "")))</f>
        <v/>
      </c>
      <c r="AC129" s="11"/>
      <c r="AD129" s="11"/>
      <c r="AE129" s="12" t="str">
        <f t="shared" ref="AE129:AE192" si="26">IF($A129="","",IF(OR($AC129="", $AD129=""),"", $AD129-$AC129))</f>
        <v/>
      </c>
    </row>
    <row r="130" spans="2:31" x14ac:dyDescent="0.25">
      <c r="B130" s="9"/>
      <c r="C130" t="s">
        <v>31</v>
      </c>
      <c r="D130" s="9" t="str">
        <f>IF($A130="","",1*'Material Costs'!$D$3)</f>
        <v/>
      </c>
      <c r="E130" s="9" t="str">
        <f>IF($A130="","",1*'Material Costs'!$D$2)</f>
        <v/>
      </c>
      <c r="F130" s="9" t="str">
        <f>IF($A130="","",IF($C130="Bubble Mailer",2,1)*'Material Costs'!$D$6)</f>
        <v/>
      </c>
      <c r="G130" s="9" t="str">
        <f>IF($A130="","",1*'Material Costs'!$D$7)</f>
        <v/>
      </c>
      <c r="H130" s="9" t="str">
        <f>IF($A130="","",IF($C130="Bubble Mailer",1,0)*'Material Costs'!$D$5)</f>
        <v/>
      </c>
      <c r="I130" s="9" t="str">
        <f>IF($A130="","",IF($C130="ESE (Ding Defend)",1,0)*'Material Costs'!$D$4)</f>
        <v/>
      </c>
      <c r="J130" s="9"/>
      <c r="K130" s="9" t="str">
        <f t="shared" si="18"/>
        <v/>
      </c>
      <c r="L130" s="9"/>
      <c r="M130" s="9"/>
      <c r="N130" s="9"/>
      <c r="O130" s="9" t="str">
        <f t="shared" si="19"/>
        <v/>
      </c>
      <c r="P130" s="9"/>
      <c r="Q130" s="9" t="str">
        <f>IF($A130="","",IF($O130="", "", ROUND($O130*Settings!$B$2+Settings!$B$3,2)))</f>
        <v/>
      </c>
      <c r="R130" s="9" t="str">
        <f>IF($A130="","",IF($L130="", "", Settings!$B$4))</f>
        <v/>
      </c>
      <c r="S130" s="9" t="str">
        <f t="shared" si="20"/>
        <v/>
      </c>
      <c r="T130" s="9" t="str">
        <f t="shared" si="21"/>
        <v/>
      </c>
      <c r="U130" s="9" t="str">
        <f>IF($A130="","",IF($K130="", "", ROUND((($K130 + Settings!$B$3 + $R130) - IF($M130="",0,$M130))/(1-Settings!$B$2),2)))</f>
        <v/>
      </c>
      <c r="V130" s="9" t="str">
        <f>IF($A130="","",$L130-($L130*Settings!$B$2)-$J130-($B130+SUM($D130:$I130)))</f>
        <v/>
      </c>
      <c r="W130" s="9" t="str">
        <f>IF($A130="","",(($B130+SUM($D130:$I130)+$J130+Settings!$B$3)/(1-Settings!$B$2))-$M130)</f>
        <v/>
      </c>
      <c r="X130" s="10" t="str">
        <f t="shared" si="22"/>
        <v/>
      </c>
      <c r="Y130" s="10" t="str">
        <f t="shared" si="23"/>
        <v/>
      </c>
      <c r="Z130" s="10" t="str">
        <f t="shared" si="24"/>
        <v/>
      </c>
      <c r="AA130" s="10" t="str">
        <f t="shared" si="25"/>
        <v/>
      </c>
      <c r="AC130" s="11"/>
      <c r="AD130" s="11"/>
      <c r="AE130" s="12" t="str">
        <f t="shared" si="26"/>
        <v/>
      </c>
    </row>
    <row r="131" spans="2:31" x14ac:dyDescent="0.25">
      <c r="B131" s="9"/>
      <c r="C131" t="s">
        <v>31</v>
      </c>
      <c r="D131" s="9" t="str">
        <f>IF($A131="","",1*'Material Costs'!$D$3)</f>
        <v/>
      </c>
      <c r="E131" s="9" t="str">
        <f>IF($A131="","",1*'Material Costs'!$D$2)</f>
        <v/>
      </c>
      <c r="F131" s="9" t="str">
        <f>IF($A131="","",IF($C131="Bubble Mailer",2,1)*'Material Costs'!$D$6)</f>
        <v/>
      </c>
      <c r="G131" s="9" t="str">
        <f>IF($A131="","",1*'Material Costs'!$D$7)</f>
        <v/>
      </c>
      <c r="H131" s="9" t="str">
        <f>IF($A131="","",IF($C131="Bubble Mailer",1,0)*'Material Costs'!$D$5)</f>
        <v/>
      </c>
      <c r="I131" s="9" t="str">
        <f>IF($A131="","",IF($C131="ESE (Ding Defend)",1,0)*'Material Costs'!$D$4)</f>
        <v/>
      </c>
      <c r="J131" s="9"/>
      <c r="K131" s="9" t="str">
        <f t="shared" si="18"/>
        <v/>
      </c>
      <c r="L131" s="9"/>
      <c r="M131" s="9"/>
      <c r="N131" s="9"/>
      <c r="O131" s="9" t="str">
        <f t="shared" si="19"/>
        <v/>
      </c>
      <c r="P131" s="9"/>
      <c r="Q131" s="9" t="str">
        <f>IF($A131="","",IF($O131="", "", ROUND($O131*Settings!$B$2+Settings!$B$3,2)))</f>
        <v/>
      </c>
      <c r="R131" s="9" t="str">
        <f>IF($A131="","",IF($L131="", "", Settings!$B$4))</f>
        <v/>
      </c>
      <c r="S131" s="9" t="str">
        <f t="shared" si="20"/>
        <v/>
      </c>
      <c r="T131" s="9" t="str">
        <f t="shared" si="21"/>
        <v/>
      </c>
      <c r="U131" s="9" t="str">
        <f>IF($A131="","",IF($K131="", "", ROUND((($K131 + Settings!$B$3 + $R131) - IF($M131="",0,$M131))/(1-Settings!$B$2),2)))</f>
        <v/>
      </c>
      <c r="V131" s="9" t="str">
        <f>IF($A131="","",$L131-($L131*Settings!$B$2)-$J131-($B131+SUM($D131:$I131)))</f>
        <v/>
      </c>
      <c r="W131" s="9" t="str">
        <f>IF($A131="","",(($B131+SUM($D131:$I131)+$J131+Settings!$B$3)/(1-Settings!$B$2))-$M131)</f>
        <v/>
      </c>
      <c r="X131" s="10" t="str">
        <f t="shared" si="22"/>
        <v/>
      </c>
      <c r="Y131" s="10" t="str">
        <f t="shared" si="23"/>
        <v/>
      </c>
      <c r="Z131" s="10" t="str">
        <f t="shared" si="24"/>
        <v/>
      </c>
      <c r="AA131" s="10" t="str">
        <f t="shared" si="25"/>
        <v/>
      </c>
      <c r="AC131" s="11"/>
      <c r="AD131" s="11"/>
      <c r="AE131" s="12" t="str">
        <f t="shared" si="26"/>
        <v/>
      </c>
    </row>
    <row r="132" spans="2:31" x14ac:dyDescent="0.25">
      <c r="B132" s="9"/>
      <c r="C132" t="s">
        <v>31</v>
      </c>
      <c r="D132" s="9" t="str">
        <f>IF($A132="","",1*'Material Costs'!$D$3)</f>
        <v/>
      </c>
      <c r="E132" s="9" t="str">
        <f>IF($A132="","",1*'Material Costs'!$D$2)</f>
        <v/>
      </c>
      <c r="F132" s="9" t="str">
        <f>IF($A132="","",IF($C132="Bubble Mailer",2,1)*'Material Costs'!$D$6)</f>
        <v/>
      </c>
      <c r="G132" s="9" t="str">
        <f>IF($A132="","",1*'Material Costs'!$D$7)</f>
        <v/>
      </c>
      <c r="H132" s="9" t="str">
        <f>IF($A132="","",IF($C132="Bubble Mailer",1,0)*'Material Costs'!$D$5)</f>
        <v/>
      </c>
      <c r="I132" s="9" t="str">
        <f>IF($A132="","",IF($C132="ESE (Ding Defend)",1,0)*'Material Costs'!$D$4)</f>
        <v/>
      </c>
      <c r="J132" s="9"/>
      <c r="K132" s="9" t="str">
        <f t="shared" si="18"/>
        <v/>
      </c>
      <c r="L132" s="9"/>
      <c r="M132" s="9"/>
      <c r="N132" s="9"/>
      <c r="O132" s="9" t="str">
        <f t="shared" si="19"/>
        <v/>
      </c>
      <c r="P132" s="9"/>
      <c r="Q132" s="9" t="str">
        <f>IF($A132="","",IF($O132="", "", ROUND($O132*Settings!$B$2+Settings!$B$3,2)))</f>
        <v/>
      </c>
      <c r="R132" s="9" t="str">
        <f>IF($A132="","",IF($L132="", "", Settings!$B$4))</f>
        <v/>
      </c>
      <c r="S132" s="9" t="str">
        <f t="shared" si="20"/>
        <v/>
      </c>
      <c r="T132" s="9" t="str">
        <f t="shared" si="21"/>
        <v/>
      </c>
      <c r="U132" s="9" t="str">
        <f>IF($A132="","",IF($K132="", "", ROUND((($K132 + Settings!$B$3 + $R132) - IF($M132="",0,$M132))/(1-Settings!$B$2),2)))</f>
        <v/>
      </c>
      <c r="V132" s="9" t="str">
        <f>IF($A132="","",$L132-($L132*Settings!$B$2)-$J132-($B132+SUM($D132:$I132)))</f>
        <v/>
      </c>
      <c r="W132" s="9" t="str">
        <f>IF($A132="","",(($B132+SUM($D132:$I132)+$J132+Settings!$B$3)/(1-Settings!$B$2))-$M132)</f>
        <v/>
      </c>
      <c r="X132" s="10" t="str">
        <f t="shared" si="22"/>
        <v/>
      </c>
      <c r="Y132" s="10" t="str">
        <f t="shared" si="23"/>
        <v/>
      </c>
      <c r="Z132" s="10" t="str">
        <f t="shared" si="24"/>
        <v/>
      </c>
      <c r="AA132" s="10" t="str">
        <f t="shared" si="25"/>
        <v/>
      </c>
      <c r="AC132" s="11"/>
      <c r="AD132" s="11"/>
      <c r="AE132" s="12" t="str">
        <f t="shared" si="26"/>
        <v/>
      </c>
    </row>
    <row r="133" spans="2:31" x14ac:dyDescent="0.25">
      <c r="B133" s="9"/>
      <c r="C133" t="s">
        <v>31</v>
      </c>
      <c r="D133" s="9" t="str">
        <f>IF($A133="","",1*'Material Costs'!$D$3)</f>
        <v/>
      </c>
      <c r="E133" s="9" t="str">
        <f>IF($A133="","",1*'Material Costs'!$D$2)</f>
        <v/>
      </c>
      <c r="F133" s="9" t="str">
        <f>IF($A133="","",IF($C133="Bubble Mailer",2,1)*'Material Costs'!$D$6)</f>
        <v/>
      </c>
      <c r="G133" s="9" t="str">
        <f>IF($A133="","",1*'Material Costs'!$D$7)</f>
        <v/>
      </c>
      <c r="H133" s="9" t="str">
        <f>IF($A133="","",IF($C133="Bubble Mailer",1,0)*'Material Costs'!$D$5)</f>
        <v/>
      </c>
      <c r="I133" s="9" t="str">
        <f>IF($A133="","",IF($C133="ESE (Ding Defend)",1,0)*'Material Costs'!$D$4)</f>
        <v/>
      </c>
      <c r="J133" s="9"/>
      <c r="K133" s="9" t="str">
        <f t="shared" si="18"/>
        <v/>
      </c>
      <c r="L133" s="9"/>
      <c r="M133" s="9"/>
      <c r="N133" s="9"/>
      <c r="O133" s="9" t="str">
        <f t="shared" si="19"/>
        <v/>
      </c>
      <c r="P133" s="9"/>
      <c r="Q133" s="9" t="str">
        <f>IF($A133="","",IF($O133="", "", ROUND($O133*Settings!$B$2+Settings!$B$3,2)))</f>
        <v/>
      </c>
      <c r="R133" s="9" t="str">
        <f>IF($A133="","",IF($L133="", "", Settings!$B$4))</f>
        <v/>
      </c>
      <c r="S133" s="9" t="str">
        <f t="shared" si="20"/>
        <v/>
      </c>
      <c r="T133" s="9" t="str">
        <f t="shared" si="21"/>
        <v/>
      </c>
      <c r="U133" s="9" t="str">
        <f>IF($A133="","",IF($K133="", "", ROUND((($K133 + Settings!$B$3 + $R133) - IF($M133="",0,$M133))/(1-Settings!$B$2),2)))</f>
        <v/>
      </c>
      <c r="V133" s="9" t="str">
        <f>IF($A133="","",$L133-($L133*Settings!$B$2)-$J133-($B133+SUM($D133:$I133)))</f>
        <v/>
      </c>
      <c r="W133" s="9" t="str">
        <f>IF($A133="","",(($B133+SUM($D133:$I133)+$J133+Settings!$B$3)/(1-Settings!$B$2))-$M133)</f>
        <v/>
      </c>
      <c r="X133" s="10" t="str">
        <f t="shared" si="22"/>
        <v/>
      </c>
      <c r="Y133" s="10" t="str">
        <f t="shared" si="23"/>
        <v/>
      </c>
      <c r="Z133" s="10" t="str">
        <f t="shared" si="24"/>
        <v/>
      </c>
      <c r="AA133" s="10" t="str">
        <f t="shared" si="25"/>
        <v/>
      </c>
      <c r="AC133" s="11"/>
      <c r="AD133" s="11"/>
      <c r="AE133" s="12" t="str">
        <f t="shared" si="26"/>
        <v/>
      </c>
    </row>
    <row r="134" spans="2:31" x14ac:dyDescent="0.25">
      <c r="B134" s="9"/>
      <c r="C134" t="s">
        <v>31</v>
      </c>
      <c r="D134" s="9" t="str">
        <f>IF($A134="","",1*'Material Costs'!$D$3)</f>
        <v/>
      </c>
      <c r="E134" s="9" t="str">
        <f>IF($A134="","",1*'Material Costs'!$D$2)</f>
        <v/>
      </c>
      <c r="F134" s="9" t="str">
        <f>IF($A134="","",IF($C134="Bubble Mailer",2,1)*'Material Costs'!$D$6)</f>
        <v/>
      </c>
      <c r="G134" s="9" t="str">
        <f>IF($A134="","",1*'Material Costs'!$D$7)</f>
        <v/>
      </c>
      <c r="H134" s="9" t="str">
        <f>IF($A134="","",IF($C134="Bubble Mailer",1,0)*'Material Costs'!$D$5)</f>
        <v/>
      </c>
      <c r="I134" s="9" t="str">
        <f>IF($A134="","",IF($C134="ESE (Ding Defend)",1,0)*'Material Costs'!$D$4)</f>
        <v/>
      </c>
      <c r="J134" s="9"/>
      <c r="K134" s="9" t="str">
        <f t="shared" si="18"/>
        <v/>
      </c>
      <c r="L134" s="9"/>
      <c r="M134" s="9"/>
      <c r="N134" s="9"/>
      <c r="O134" s="9" t="str">
        <f t="shared" si="19"/>
        <v/>
      </c>
      <c r="P134" s="9"/>
      <c r="Q134" s="9" t="str">
        <f>IF($A134="","",IF($O134="", "", ROUND($O134*Settings!$B$2+Settings!$B$3,2)))</f>
        <v/>
      </c>
      <c r="R134" s="9" t="str">
        <f>IF($A134="","",IF($L134="", "", Settings!$B$4))</f>
        <v/>
      </c>
      <c r="S134" s="9" t="str">
        <f t="shared" si="20"/>
        <v/>
      </c>
      <c r="T134" s="9" t="str">
        <f t="shared" si="21"/>
        <v/>
      </c>
      <c r="U134" s="9" t="str">
        <f>IF($A134="","",IF($K134="", "", ROUND((($K134 + Settings!$B$3 + $R134) - IF($M134="",0,$M134))/(1-Settings!$B$2),2)))</f>
        <v/>
      </c>
      <c r="V134" s="9" t="str">
        <f>IF($A134="","",$L134-($L134*Settings!$B$2)-$J134-($B134+SUM($D134:$I134)))</f>
        <v/>
      </c>
      <c r="W134" s="9" t="str">
        <f>IF($A134="","",(($B134+SUM($D134:$I134)+$J134+Settings!$B$3)/(1-Settings!$B$2))-$M134)</f>
        <v/>
      </c>
      <c r="X134" s="10" t="str">
        <f t="shared" si="22"/>
        <v/>
      </c>
      <c r="Y134" s="10" t="str">
        <f t="shared" si="23"/>
        <v/>
      </c>
      <c r="Z134" s="10" t="str">
        <f t="shared" si="24"/>
        <v/>
      </c>
      <c r="AA134" s="10" t="str">
        <f t="shared" si="25"/>
        <v/>
      </c>
      <c r="AC134" s="11"/>
      <c r="AD134" s="11"/>
      <c r="AE134" s="12" t="str">
        <f t="shared" si="26"/>
        <v/>
      </c>
    </row>
    <row r="135" spans="2:31" x14ac:dyDescent="0.25">
      <c r="B135" s="9"/>
      <c r="C135" t="s">
        <v>31</v>
      </c>
      <c r="D135" s="9" t="str">
        <f>IF($A135="","",1*'Material Costs'!$D$3)</f>
        <v/>
      </c>
      <c r="E135" s="9" t="str">
        <f>IF($A135="","",1*'Material Costs'!$D$2)</f>
        <v/>
      </c>
      <c r="F135" s="9" t="str">
        <f>IF($A135="","",IF($C135="Bubble Mailer",2,1)*'Material Costs'!$D$6)</f>
        <v/>
      </c>
      <c r="G135" s="9" t="str">
        <f>IF($A135="","",1*'Material Costs'!$D$7)</f>
        <v/>
      </c>
      <c r="H135" s="9" t="str">
        <f>IF($A135="","",IF($C135="Bubble Mailer",1,0)*'Material Costs'!$D$5)</f>
        <v/>
      </c>
      <c r="I135" s="9" t="str">
        <f>IF($A135="","",IF($C135="ESE (Ding Defend)",1,0)*'Material Costs'!$D$4)</f>
        <v/>
      </c>
      <c r="J135" s="9"/>
      <c r="K135" s="9" t="str">
        <f t="shared" si="18"/>
        <v/>
      </c>
      <c r="L135" s="9"/>
      <c r="M135" s="9"/>
      <c r="N135" s="9"/>
      <c r="O135" s="9" t="str">
        <f t="shared" si="19"/>
        <v/>
      </c>
      <c r="P135" s="9"/>
      <c r="Q135" s="9" t="str">
        <f>IF($A135="","",IF($O135="", "", ROUND($O135*Settings!$B$2+Settings!$B$3,2)))</f>
        <v/>
      </c>
      <c r="R135" s="9" t="str">
        <f>IF($A135="","",IF($L135="", "", Settings!$B$4))</f>
        <v/>
      </c>
      <c r="S135" s="9" t="str">
        <f t="shared" si="20"/>
        <v/>
      </c>
      <c r="T135" s="9" t="str">
        <f t="shared" si="21"/>
        <v/>
      </c>
      <c r="U135" s="9" t="str">
        <f>IF($A135="","",IF($K135="", "", ROUND((($K135 + Settings!$B$3 + $R135) - IF($M135="",0,$M135))/(1-Settings!$B$2),2)))</f>
        <v/>
      </c>
      <c r="V135" s="9" t="str">
        <f>IF($A135="","",$L135-($L135*Settings!$B$2)-$J135-($B135+SUM($D135:$I135)))</f>
        <v/>
      </c>
      <c r="W135" s="9" t="str">
        <f>IF($A135="","",(($B135+SUM($D135:$I135)+$J135+Settings!$B$3)/(1-Settings!$B$2))-$M135)</f>
        <v/>
      </c>
      <c r="X135" s="10" t="str">
        <f t="shared" si="22"/>
        <v/>
      </c>
      <c r="Y135" s="10" t="str">
        <f t="shared" si="23"/>
        <v/>
      </c>
      <c r="Z135" s="10" t="str">
        <f t="shared" si="24"/>
        <v/>
      </c>
      <c r="AA135" s="10" t="str">
        <f t="shared" si="25"/>
        <v/>
      </c>
      <c r="AC135" s="11"/>
      <c r="AD135" s="11"/>
      <c r="AE135" s="12" t="str">
        <f t="shared" si="26"/>
        <v/>
      </c>
    </row>
    <row r="136" spans="2:31" x14ac:dyDescent="0.25">
      <c r="B136" s="9"/>
      <c r="C136" t="s">
        <v>31</v>
      </c>
      <c r="D136" s="9" t="str">
        <f>IF($A136="","",1*'Material Costs'!$D$3)</f>
        <v/>
      </c>
      <c r="E136" s="9" t="str">
        <f>IF($A136="","",1*'Material Costs'!$D$2)</f>
        <v/>
      </c>
      <c r="F136" s="9" t="str">
        <f>IF($A136="","",IF($C136="Bubble Mailer",2,1)*'Material Costs'!$D$6)</f>
        <v/>
      </c>
      <c r="G136" s="9" t="str">
        <f>IF($A136="","",1*'Material Costs'!$D$7)</f>
        <v/>
      </c>
      <c r="H136" s="9" t="str">
        <f>IF($A136="","",IF($C136="Bubble Mailer",1,0)*'Material Costs'!$D$5)</f>
        <v/>
      </c>
      <c r="I136" s="9" t="str">
        <f>IF($A136="","",IF($C136="ESE (Ding Defend)",1,0)*'Material Costs'!$D$4)</f>
        <v/>
      </c>
      <c r="J136" s="9"/>
      <c r="K136" s="9" t="str">
        <f t="shared" si="18"/>
        <v/>
      </c>
      <c r="L136" s="9"/>
      <c r="M136" s="9"/>
      <c r="N136" s="9"/>
      <c r="O136" s="9" t="str">
        <f t="shared" si="19"/>
        <v/>
      </c>
      <c r="P136" s="9"/>
      <c r="Q136" s="9" t="str">
        <f>IF($A136="","",IF($O136="", "", ROUND($O136*Settings!$B$2+Settings!$B$3,2)))</f>
        <v/>
      </c>
      <c r="R136" s="9" t="str">
        <f>IF($A136="","",IF($L136="", "", Settings!$B$4))</f>
        <v/>
      </c>
      <c r="S136" s="9" t="str">
        <f t="shared" si="20"/>
        <v/>
      </c>
      <c r="T136" s="9" t="str">
        <f t="shared" si="21"/>
        <v/>
      </c>
      <c r="U136" s="9" t="str">
        <f>IF($A136="","",IF($K136="", "", ROUND((($K136 + Settings!$B$3 + $R136) - IF($M136="",0,$M136))/(1-Settings!$B$2),2)))</f>
        <v/>
      </c>
      <c r="V136" s="9" t="str">
        <f>IF($A136="","",$L136-($L136*Settings!$B$2)-$J136-($B136+SUM($D136:$I136)))</f>
        <v/>
      </c>
      <c r="W136" s="9" t="str">
        <f>IF($A136="","",(($B136+SUM($D136:$I136)+$J136+Settings!$B$3)/(1-Settings!$B$2))-$M136)</f>
        <v/>
      </c>
      <c r="X136" s="10" t="str">
        <f t="shared" si="22"/>
        <v/>
      </c>
      <c r="Y136" s="10" t="str">
        <f t="shared" si="23"/>
        <v/>
      </c>
      <c r="Z136" s="10" t="str">
        <f t="shared" si="24"/>
        <v/>
      </c>
      <c r="AA136" s="10" t="str">
        <f t="shared" si="25"/>
        <v/>
      </c>
      <c r="AC136" s="11"/>
      <c r="AD136" s="11"/>
      <c r="AE136" s="12" t="str">
        <f t="shared" si="26"/>
        <v/>
      </c>
    </row>
    <row r="137" spans="2:31" x14ac:dyDescent="0.25">
      <c r="B137" s="9"/>
      <c r="C137" t="s">
        <v>31</v>
      </c>
      <c r="D137" s="9" t="str">
        <f>IF($A137="","",1*'Material Costs'!$D$3)</f>
        <v/>
      </c>
      <c r="E137" s="9" t="str">
        <f>IF($A137="","",1*'Material Costs'!$D$2)</f>
        <v/>
      </c>
      <c r="F137" s="9" t="str">
        <f>IF($A137="","",IF($C137="Bubble Mailer",2,1)*'Material Costs'!$D$6)</f>
        <v/>
      </c>
      <c r="G137" s="9" t="str">
        <f>IF($A137="","",1*'Material Costs'!$D$7)</f>
        <v/>
      </c>
      <c r="H137" s="9" t="str">
        <f>IF($A137="","",IF($C137="Bubble Mailer",1,0)*'Material Costs'!$D$5)</f>
        <v/>
      </c>
      <c r="I137" s="9" t="str">
        <f>IF($A137="","",IF($C137="ESE (Ding Defend)",1,0)*'Material Costs'!$D$4)</f>
        <v/>
      </c>
      <c r="J137" s="9"/>
      <c r="K137" s="9" t="str">
        <f t="shared" si="18"/>
        <v/>
      </c>
      <c r="L137" s="9"/>
      <c r="M137" s="9"/>
      <c r="N137" s="9"/>
      <c r="O137" s="9" t="str">
        <f t="shared" si="19"/>
        <v/>
      </c>
      <c r="P137" s="9"/>
      <c r="Q137" s="9" t="str">
        <f>IF($A137="","",IF($O137="", "", ROUND($O137*Settings!$B$2+Settings!$B$3,2)))</f>
        <v/>
      </c>
      <c r="R137" s="9" t="str">
        <f>IF($A137="","",IF($L137="", "", Settings!$B$4))</f>
        <v/>
      </c>
      <c r="S137" s="9" t="str">
        <f t="shared" si="20"/>
        <v/>
      </c>
      <c r="T137" s="9" t="str">
        <f t="shared" si="21"/>
        <v/>
      </c>
      <c r="U137" s="9" t="str">
        <f>IF($A137="","",IF($K137="", "", ROUND((($K137 + Settings!$B$3 + $R137) - IF($M137="",0,$M137))/(1-Settings!$B$2),2)))</f>
        <v/>
      </c>
      <c r="V137" s="9" t="str">
        <f>IF($A137="","",$L137-($L137*Settings!$B$2)-$J137-($B137+SUM($D137:$I137)))</f>
        <v/>
      </c>
      <c r="W137" s="9" t="str">
        <f>IF($A137="","",(($B137+SUM($D137:$I137)+$J137+Settings!$B$3)/(1-Settings!$B$2))-$M137)</f>
        <v/>
      </c>
      <c r="X137" s="10" t="str">
        <f t="shared" si="22"/>
        <v/>
      </c>
      <c r="Y137" s="10" t="str">
        <f t="shared" si="23"/>
        <v/>
      </c>
      <c r="Z137" s="10" t="str">
        <f t="shared" si="24"/>
        <v/>
      </c>
      <c r="AA137" s="10" t="str">
        <f t="shared" si="25"/>
        <v/>
      </c>
      <c r="AC137" s="11"/>
      <c r="AD137" s="11"/>
      <c r="AE137" s="12" t="str">
        <f t="shared" si="26"/>
        <v/>
      </c>
    </row>
    <row r="138" spans="2:31" x14ac:dyDescent="0.25">
      <c r="B138" s="9"/>
      <c r="C138" t="s">
        <v>31</v>
      </c>
      <c r="D138" s="9" t="str">
        <f>IF($A138="","",1*'Material Costs'!$D$3)</f>
        <v/>
      </c>
      <c r="E138" s="9" t="str">
        <f>IF($A138="","",1*'Material Costs'!$D$2)</f>
        <v/>
      </c>
      <c r="F138" s="9" t="str">
        <f>IF($A138="","",IF($C138="Bubble Mailer",2,1)*'Material Costs'!$D$6)</f>
        <v/>
      </c>
      <c r="G138" s="9" t="str">
        <f>IF($A138="","",1*'Material Costs'!$D$7)</f>
        <v/>
      </c>
      <c r="H138" s="9" t="str">
        <f>IF($A138="","",IF($C138="Bubble Mailer",1,0)*'Material Costs'!$D$5)</f>
        <v/>
      </c>
      <c r="I138" s="9" t="str">
        <f>IF($A138="","",IF($C138="ESE (Ding Defend)",1,0)*'Material Costs'!$D$4)</f>
        <v/>
      </c>
      <c r="J138" s="9"/>
      <c r="K138" s="9" t="str">
        <f t="shared" si="18"/>
        <v/>
      </c>
      <c r="L138" s="9"/>
      <c r="M138" s="9"/>
      <c r="N138" s="9"/>
      <c r="O138" s="9" t="str">
        <f t="shared" si="19"/>
        <v/>
      </c>
      <c r="P138" s="9"/>
      <c r="Q138" s="9" t="str">
        <f>IF($A138="","",IF($O138="", "", ROUND($O138*Settings!$B$2+Settings!$B$3,2)))</f>
        <v/>
      </c>
      <c r="R138" s="9" t="str">
        <f>IF($A138="","",IF($L138="", "", Settings!$B$4))</f>
        <v/>
      </c>
      <c r="S138" s="9" t="str">
        <f t="shared" si="20"/>
        <v/>
      </c>
      <c r="T138" s="9" t="str">
        <f t="shared" si="21"/>
        <v/>
      </c>
      <c r="U138" s="9" t="str">
        <f>IF($A138="","",IF($K138="", "", ROUND((($K138 + Settings!$B$3 + $R138) - IF($M138="",0,$M138))/(1-Settings!$B$2),2)))</f>
        <v/>
      </c>
      <c r="V138" s="9" t="str">
        <f>IF($A138="","",$L138-($L138*Settings!$B$2)-$J138-($B138+SUM($D138:$I138)))</f>
        <v/>
      </c>
      <c r="W138" s="9" t="str">
        <f>IF($A138="","",(($B138+SUM($D138:$I138)+$J138+Settings!$B$3)/(1-Settings!$B$2))-$M138)</f>
        <v/>
      </c>
      <c r="X138" s="10" t="str">
        <f t="shared" si="22"/>
        <v/>
      </c>
      <c r="Y138" s="10" t="str">
        <f t="shared" si="23"/>
        <v/>
      </c>
      <c r="Z138" s="10" t="str">
        <f t="shared" si="24"/>
        <v/>
      </c>
      <c r="AA138" s="10" t="str">
        <f t="shared" si="25"/>
        <v/>
      </c>
      <c r="AC138" s="11"/>
      <c r="AD138" s="11"/>
      <c r="AE138" s="12" t="str">
        <f t="shared" si="26"/>
        <v/>
      </c>
    </row>
    <row r="139" spans="2:31" x14ac:dyDescent="0.25">
      <c r="B139" s="9"/>
      <c r="C139" t="s">
        <v>31</v>
      </c>
      <c r="D139" s="9" t="str">
        <f>IF($A139="","",1*'Material Costs'!$D$3)</f>
        <v/>
      </c>
      <c r="E139" s="9" t="str">
        <f>IF($A139="","",1*'Material Costs'!$D$2)</f>
        <v/>
      </c>
      <c r="F139" s="9" t="str">
        <f>IF($A139="","",IF($C139="Bubble Mailer",2,1)*'Material Costs'!$D$6)</f>
        <v/>
      </c>
      <c r="G139" s="9" t="str">
        <f>IF($A139="","",1*'Material Costs'!$D$7)</f>
        <v/>
      </c>
      <c r="H139" s="9" t="str">
        <f>IF($A139="","",IF($C139="Bubble Mailer",1,0)*'Material Costs'!$D$5)</f>
        <v/>
      </c>
      <c r="I139" s="9" t="str">
        <f>IF($A139="","",IF($C139="ESE (Ding Defend)",1,0)*'Material Costs'!$D$4)</f>
        <v/>
      </c>
      <c r="J139" s="9"/>
      <c r="K139" s="9" t="str">
        <f t="shared" si="18"/>
        <v/>
      </c>
      <c r="L139" s="9"/>
      <c r="M139" s="9"/>
      <c r="N139" s="9"/>
      <c r="O139" s="9" t="str">
        <f t="shared" si="19"/>
        <v/>
      </c>
      <c r="P139" s="9"/>
      <c r="Q139" s="9" t="str">
        <f>IF($A139="","",IF($O139="", "", ROUND($O139*Settings!$B$2+Settings!$B$3,2)))</f>
        <v/>
      </c>
      <c r="R139" s="9" t="str">
        <f>IF($A139="","",IF($L139="", "", Settings!$B$4))</f>
        <v/>
      </c>
      <c r="S139" s="9" t="str">
        <f t="shared" si="20"/>
        <v/>
      </c>
      <c r="T139" s="9" t="str">
        <f t="shared" si="21"/>
        <v/>
      </c>
      <c r="U139" s="9" t="str">
        <f>IF($A139="","",IF($K139="", "", ROUND((($K139 + Settings!$B$3 + $R139) - IF($M139="",0,$M139))/(1-Settings!$B$2),2)))</f>
        <v/>
      </c>
      <c r="V139" s="9" t="str">
        <f>IF($A139="","",$L139-($L139*Settings!$B$2)-$J139-($B139+SUM($D139:$I139)))</f>
        <v/>
      </c>
      <c r="W139" s="9" t="str">
        <f>IF($A139="","",(($B139+SUM($D139:$I139)+$J139+Settings!$B$3)/(1-Settings!$B$2))-$M139)</f>
        <v/>
      </c>
      <c r="X139" s="10" t="str">
        <f t="shared" si="22"/>
        <v/>
      </c>
      <c r="Y139" s="10" t="str">
        <f t="shared" si="23"/>
        <v/>
      </c>
      <c r="Z139" s="10" t="str">
        <f t="shared" si="24"/>
        <v/>
      </c>
      <c r="AA139" s="10" t="str">
        <f t="shared" si="25"/>
        <v/>
      </c>
      <c r="AC139" s="11"/>
      <c r="AD139" s="11"/>
      <c r="AE139" s="12" t="str">
        <f t="shared" si="26"/>
        <v/>
      </c>
    </row>
    <row r="140" spans="2:31" x14ac:dyDescent="0.25">
      <c r="B140" s="9"/>
      <c r="C140" t="s">
        <v>31</v>
      </c>
      <c r="D140" s="9" t="str">
        <f>IF($A140="","",1*'Material Costs'!$D$3)</f>
        <v/>
      </c>
      <c r="E140" s="9" t="str">
        <f>IF($A140="","",1*'Material Costs'!$D$2)</f>
        <v/>
      </c>
      <c r="F140" s="9" t="str">
        <f>IF($A140="","",IF($C140="Bubble Mailer",2,1)*'Material Costs'!$D$6)</f>
        <v/>
      </c>
      <c r="G140" s="9" t="str">
        <f>IF($A140="","",1*'Material Costs'!$D$7)</f>
        <v/>
      </c>
      <c r="H140" s="9" t="str">
        <f>IF($A140="","",IF($C140="Bubble Mailer",1,0)*'Material Costs'!$D$5)</f>
        <v/>
      </c>
      <c r="I140" s="9" t="str">
        <f>IF($A140="","",IF($C140="ESE (Ding Defend)",1,0)*'Material Costs'!$D$4)</f>
        <v/>
      </c>
      <c r="J140" s="9"/>
      <c r="K140" s="9" t="str">
        <f t="shared" si="18"/>
        <v/>
      </c>
      <c r="L140" s="9"/>
      <c r="M140" s="9"/>
      <c r="N140" s="9"/>
      <c r="O140" s="9" t="str">
        <f t="shared" si="19"/>
        <v/>
      </c>
      <c r="P140" s="9"/>
      <c r="Q140" s="9" t="str">
        <f>IF($A140="","",IF($O140="", "", ROUND($O140*Settings!$B$2+Settings!$B$3,2)))</f>
        <v/>
      </c>
      <c r="R140" s="9" t="str">
        <f>IF($A140="","",IF($L140="", "", Settings!$B$4))</f>
        <v/>
      </c>
      <c r="S140" s="9" t="str">
        <f t="shared" si="20"/>
        <v/>
      </c>
      <c r="T140" s="9" t="str">
        <f t="shared" si="21"/>
        <v/>
      </c>
      <c r="U140" s="9" t="str">
        <f>IF($A140="","",IF($K140="", "", ROUND((($K140 + Settings!$B$3 + $R140) - IF($M140="",0,$M140))/(1-Settings!$B$2),2)))</f>
        <v/>
      </c>
      <c r="V140" s="9" t="str">
        <f>IF($A140="","",$L140-($L140*Settings!$B$2)-$J140-($B140+SUM($D140:$I140)))</f>
        <v/>
      </c>
      <c r="W140" s="9" t="str">
        <f>IF($A140="","",(($B140+SUM($D140:$I140)+$J140+Settings!$B$3)/(1-Settings!$B$2))-$M140)</f>
        <v/>
      </c>
      <c r="X140" s="10" t="str">
        <f t="shared" si="22"/>
        <v/>
      </c>
      <c r="Y140" s="10" t="str">
        <f t="shared" si="23"/>
        <v/>
      </c>
      <c r="Z140" s="10" t="str">
        <f t="shared" si="24"/>
        <v/>
      </c>
      <c r="AA140" s="10" t="str">
        <f t="shared" si="25"/>
        <v/>
      </c>
      <c r="AC140" s="11"/>
      <c r="AD140" s="11"/>
      <c r="AE140" s="12" t="str">
        <f t="shared" si="26"/>
        <v/>
      </c>
    </row>
    <row r="141" spans="2:31" x14ac:dyDescent="0.25">
      <c r="B141" s="9"/>
      <c r="C141" t="s">
        <v>31</v>
      </c>
      <c r="D141" s="9" t="str">
        <f>IF($A141="","",1*'Material Costs'!$D$3)</f>
        <v/>
      </c>
      <c r="E141" s="9" t="str">
        <f>IF($A141="","",1*'Material Costs'!$D$2)</f>
        <v/>
      </c>
      <c r="F141" s="9" t="str">
        <f>IF($A141="","",IF($C141="Bubble Mailer",2,1)*'Material Costs'!$D$6)</f>
        <v/>
      </c>
      <c r="G141" s="9" t="str">
        <f>IF($A141="","",1*'Material Costs'!$D$7)</f>
        <v/>
      </c>
      <c r="H141" s="9" t="str">
        <f>IF($A141="","",IF($C141="Bubble Mailer",1,0)*'Material Costs'!$D$5)</f>
        <v/>
      </c>
      <c r="I141" s="9" t="str">
        <f>IF($A141="","",IF($C141="ESE (Ding Defend)",1,0)*'Material Costs'!$D$4)</f>
        <v/>
      </c>
      <c r="J141" s="9"/>
      <c r="K141" s="9" t="str">
        <f t="shared" si="18"/>
        <v/>
      </c>
      <c r="L141" s="9"/>
      <c r="M141" s="9"/>
      <c r="N141" s="9"/>
      <c r="O141" s="9" t="str">
        <f t="shared" si="19"/>
        <v/>
      </c>
      <c r="P141" s="9"/>
      <c r="Q141" s="9" t="str">
        <f>IF($A141="","",IF($O141="", "", ROUND($O141*Settings!$B$2+Settings!$B$3,2)))</f>
        <v/>
      </c>
      <c r="R141" s="9" t="str">
        <f>IF($A141="","",IF($L141="", "", Settings!$B$4))</f>
        <v/>
      </c>
      <c r="S141" s="9" t="str">
        <f t="shared" si="20"/>
        <v/>
      </c>
      <c r="T141" s="9" t="str">
        <f t="shared" si="21"/>
        <v/>
      </c>
      <c r="U141" s="9" t="str">
        <f>IF($A141="","",IF($K141="", "", ROUND((($K141 + Settings!$B$3 + $R141) - IF($M141="",0,$M141))/(1-Settings!$B$2),2)))</f>
        <v/>
      </c>
      <c r="V141" s="9" t="str">
        <f>IF($A141="","",$L141-($L141*Settings!$B$2)-$J141-($B141+SUM($D141:$I141)))</f>
        <v/>
      </c>
      <c r="W141" s="9" t="str">
        <f>IF($A141="","",(($B141+SUM($D141:$I141)+$J141+Settings!$B$3)/(1-Settings!$B$2))-$M141)</f>
        <v/>
      </c>
      <c r="X141" s="10" t="str">
        <f t="shared" si="22"/>
        <v/>
      </c>
      <c r="Y141" s="10" t="str">
        <f t="shared" si="23"/>
        <v/>
      </c>
      <c r="Z141" s="10" t="str">
        <f t="shared" si="24"/>
        <v/>
      </c>
      <c r="AA141" s="10" t="str">
        <f t="shared" si="25"/>
        <v/>
      </c>
      <c r="AC141" s="11"/>
      <c r="AD141" s="11"/>
      <c r="AE141" s="12" t="str">
        <f t="shared" si="26"/>
        <v/>
      </c>
    </row>
    <row r="142" spans="2:31" x14ac:dyDescent="0.25">
      <c r="B142" s="9"/>
      <c r="C142" t="s">
        <v>31</v>
      </c>
      <c r="D142" s="9" t="str">
        <f>IF($A142="","",1*'Material Costs'!$D$3)</f>
        <v/>
      </c>
      <c r="E142" s="9" t="str">
        <f>IF($A142="","",1*'Material Costs'!$D$2)</f>
        <v/>
      </c>
      <c r="F142" s="9" t="str">
        <f>IF($A142="","",IF($C142="Bubble Mailer",2,1)*'Material Costs'!$D$6)</f>
        <v/>
      </c>
      <c r="G142" s="9" t="str">
        <f>IF($A142="","",1*'Material Costs'!$D$7)</f>
        <v/>
      </c>
      <c r="H142" s="9" t="str">
        <f>IF($A142="","",IF($C142="Bubble Mailer",1,0)*'Material Costs'!$D$5)</f>
        <v/>
      </c>
      <c r="I142" s="9" t="str">
        <f>IF($A142="","",IF($C142="ESE (Ding Defend)",1,0)*'Material Costs'!$D$4)</f>
        <v/>
      </c>
      <c r="J142" s="9"/>
      <c r="K142" s="9" t="str">
        <f t="shared" si="18"/>
        <v/>
      </c>
      <c r="L142" s="9"/>
      <c r="M142" s="9"/>
      <c r="N142" s="9"/>
      <c r="O142" s="9" t="str">
        <f t="shared" si="19"/>
        <v/>
      </c>
      <c r="P142" s="9"/>
      <c r="Q142" s="9" t="str">
        <f>IF($A142="","",IF($O142="", "", ROUND($O142*Settings!$B$2+Settings!$B$3,2)))</f>
        <v/>
      </c>
      <c r="R142" s="9" t="str">
        <f>IF($A142="","",IF($L142="", "", Settings!$B$4))</f>
        <v/>
      </c>
      <c r="S142" s="9" t="str">
        <f t="shared" si="20"/>
        <v/>
      </c>
      <c r="T142" s="9" t="str">
        <f t="shared" si="21"/>
        <v/>
      </c>
      <c r="U142" s="9" t="str">
        <f>IF($A142="","",IF($K142="", "", ROUND((($K142 + Settings!$B$3 + $R142) - IF($M142="",0,$M142))/(1-Settings!$B$2),2)))</f>
        <v/>
      </c>
      <c r="V142" s="9" t="str">
        <f>IF($A142="","",$L142-($L142*Settings!$B$2)-$J142-($B142+SUM($D142:$I142)))</f>
        <v/>
      </c>
      <c r="W142" s="9" t="str">
        <f>IF($A142="","",(($B142+SUM($D142:$I142)+$J142+Settings!$B$3)/(1-Settings!$B$2))-$M142)</f>
        <v/>
      </c>
      <c r="X142" s="10" t="str">
        <f t="shared" si="22"/>
        <v/>
      </c>
      <c r="Y142" s="10" t="str">
        <f t="shared" si="23"/>
        <v/>
      </c>
      <c r="Z142" s="10" t="str">
        <f t="shared" si="24"/>
        <v/>
      </c>
      <c r="AA142" s="10" t="str">
        <f t="shared" si="25"/>
        <v/>
      </c>
      <c r="AC142" s="11"/>
      <c r="AD142" s="11"/>
      <c r="AE142" s="12" t="str">
        <f t="shared" si="26"/>
        <v/>
      </c>
    </row>
    <row r="143" spans="2:31" x14ac:dyDescent="0.25">
      <c r="B143" s="9"/>
      <c r="C143" t="s">
        <v>31</v>
      </c>
      <c r="D143" s="9" t="str">
        <f>IF($A143="","",1*'Material Costs'!$D$3)</f>
        <v/>
      </c>
      <c r="E143" s="9" t="str">
        <f>IF($A143="","",1*'Material Costs'!$D$2)</f>
        <v/>
      </c>
      <c r="F143" s="9" t="str">
        <f>IF($A143="","",IF($C143="Bubble Mailer",2,1)*'Material Costs'!$D$6)</f>
        <v/>
      </c>
      <c r="G143" s="9" t="str">
        <f>IF($A143="","",1*'Material Costs'!$D$7)</f>
        <v/>
      </c>
      <c r="H143" s="9" t="str">
        <f>IF($A143="","",IF($C143="Bubble Mailer",1,0)*'Material Costs'!$D$5)</f>
        <v/>
      </c>
      <c r="I143" s="9" t="str">
        <f>IF($A143="","",IF($C143="ESE (Ding Defend)",1,0)*'Material Costs'!$D$4)</f>
        <v/>
      </c>
      <c r="J143" s="9"/>
      <c r="K143" s="9" t="str">
        <f t="shared" si="18"/>
        <v/>
      </c>
      <c r="L143" s="9"/>
      <c r="M143" s="9"/>
      <c r="N143" s="9"/>
      <c r="O143" s="9" t="str">
        <f t="shared" si="19"/>
        <v/>
      </c>
      <c r="P143" s="9"/>
      <c r="Q143" s="9" t="str">
        <f>IF($A143="","",IF($O143="", "", ROUND($O143*Settings!$B$2+Settings!$B$3,2)))</f>
        <v/>
      </c>
      <c r="R143" s="9" t="str">
        <f>IF($A143="","",IF($L143="", "", Settings!$B$4))</f>
        <v/>
      </c>
      <c r="S143" s="9" t="str">
        <f t="shared" si="20"/>
        <v/>
      </c>
      <c r="T143" s="9" t="str">
        <f t="shared" si="21"/>
        <v/>
      </c>
      <c r="U143" s="9" t="str">
        <f>IF($A143="","",IF($K143="", "", ROUND((($K143 + Settings!$B$3 + $R143) - IF($M143="",0,$M143))/(1-Settings!$B$2),2)))</f>
        <v/>
      </c>
      <c r="V143" s="9" t="str">
        <f>IF($A143="","",$L143-($L143*Settings!$B$2)-$J143-($B143+SUM($D143:$I143)))</f>
        <v/>
      </c>
      <c r="W143" s="9" t="str">
        <f>IF($A143="","",(($B143+SUM($D143:$I143)+$J143+Settings!$B$3)/(1-Settings!$B$2))-$M143)</f>
        <v/>
      </c>
      <c r="X143" s="10" t="str">
        <f t="shared" si="22"/>
        <v/>
      </c>
      <c r="Y143" s="10" t="str">
        <f t="shared" si="23"/>
        <v/>
      </c>
      <c r="Z143" s="10" t="str">
        <f t="shared" si="24"/>
        <v/>
      </c>
      <c r="AA143" s="10" t="str">
        <f t="shared" si="25"/>
        <v/>
      </c>
      <c r="AC143" s="11"/>
      <c r="AD143" s="11"/>
      <c r="AE143" s="12" t="str">
        <f t="shared" si="26"/>
        <v/>
      </c>
    </row>
    <row r="144" spans="2:31" x14ac:dyDescent="0.25">
      <c r="B144" s="9"/>
      <c r="C144" t="s">
        <v>31</v>
      </c>
      <c r="D144" s="9" t="str">
        <f>IF($A144="","",1*'Material Costs'!$D$3)</f>
        <v/>
      </c>
      <c r="E144" s="9" t="str">
        <f>IF($A144="","",1*'Material Costs'!$D$2)</f>
        <v/>
      </c>
      <c r="F144" s="9" t="str">
        <f>IF($A144="","",IF($C144="Bubble Mailer",2,1)*'Material Costs'!$D$6)</f>
        <v/>
      </c>
      <c r="G144" s="9" t="str">
        <f>IF($A144="","",1*'Material Costs'!$D$7)</f>
        <v/>
      </c>
      <c r="H144" s="9" t="str">
        <f>IF($A144="","",IF($C144="Bubble Mailer",1,0)*'Material Costs'!$D$5)</f>
        <v/>
      </c>
      <c r="I144" s="9" t="str">
        <f>IF($A144="","",IF($C144="ESE (Ding Defend)",1,0)*'Material Costs'!$D$4)</f>
        <v/>
      </c>
      <c r="J144" s="9"/>
      <c r="K144" s="9" t="str">
        <f t="shared" si="18"/>
        <v/>
      </c>
      <c r="L144" s="9"/>
      <c r="M144" s="9"/>
      <c r="N144" s="9"/>
      <c r="O144" s="9" t="str">
        <f t="shared" si="19"/>
        <v/>
      </c>
      <c r="P144" s="9"/>
      <c r="Q144" s="9" t="str">
        <f>IF($A144="","",IF($O144="", "", ROUND($O144*Settings!$B$2+Settings!$B$3,2)))</f>
        <v/>
      </c>
      <c r="R144" s="9" t="str">
        <f>IF($A144="","",IF($L144="", "", Settings!$B$4))</f>
        <v/>
      </c>
      <c r="S144" s="9" t="str">
        <f t="shared" si="20"/>
        <v/>
      </c>
      <c r="T144" s="9" t="str">
        <f t="shared" si="21"/>
        <v/>
      </c>
      <c r="U144" s="9" t="str">
        <f>IF($A144="","",IF($K144="", "", ROUND((($K144 + Settings!$B$3 + $R144) - IF($M144="",0,$M144))/(1-Settings!$B$2),2)))</f>
        <v/>
      </c>
      <c r="V144" s="9" t="str">
        <f>IF($A144="","",$L144-($L144*Settings!$B$2)-$J144-($B144+SUM($D144:$I144)))</f>
        <v/>
      </c>
      <c r="W144" s="9" t="str">
        <f>IF($A144="","",(($B144+SUM($D144:$I144)+$J144+Settings!$B$3)/(1-Settings!$B$2))-$M144)</f>
        <v/>
      </c>
      <c r="X144" s="10" t="str">
        <f t="shared" si="22"/>
        <v/>
      </c>
      <c r="Y144" s="10" t="str">
        <f t="shared" si="23"/>
        <v/>
      </c>
      <c r="Z144" s="10" t="str">
        <f t="shared" si="24"/>
        <v/>
      </c>
      <c r="AA144" s="10" t="str">
        <f t="shared" si="25"/>
        <v/>
      </c>
      <c r="AC144" s="11"/>
      <c r="AD144" s="11"/>
      <c r="AE144" s="12" t="str">
        <f t="shared" si="26"/>
        <v/>
      </c>
    </row>
    <row r="145" spans="2:31" x14ac:dyDescent="0.25">
      <c r="B145" s="9"/>
      <c r="C145" t="s">
        <v>31</v>
      </c>
      <c r="D145" s="9" t="str">
        <f>IF($A145="","",1*'Material Costs'!$D$3)</f>
        <v/>
      </c>
      <c r="E145" s="9" t="str">
        <f>IF($A145="","",1*'Material Costs'!$D$2)</f>
        <v/>
      </c>
      <c r="F145" s="9" t="str">
        <f>IF($A145="","",IF($C145="Bubble Mailer",2,1)*'Material Costs'!$D$6)</f>
        <v/>
      </c>
      <c r="G145" s="9" t="str">
        <f>IF($A145="","",1*'Material Costs'!$D$7)</f>
        <v/>
      </c>
      <c r="H145" s="9" t="str">
        <f>IF($A145="","",IF($C145="Bubble Mailer",1,0)*'Material Costs'!$D$5)</f>
        <v/>
      </c>
      <c r="I145" s="9" t="str">
        <f>IF($A145="","",IF($C145="ESE (Ding Defend)",1,0)*'Material Costs'!$D$4)</f>
        <v/>
      </c>
      <c r="J145" s="9"/>
      <c r="K145" s="9" t="str">
        <f t="shared" si="18"/>
        <v/>
      </c>
      <c r="L145" s="9"/>
      <c r="M145" s="9"/>
      <c r="N145" s="9"/>
      <c r="O145" s="9" t="str">
        <f t="shared" si="19"/>
        <v/>
      </c>
      <c r="P145" s="9"/>
      <c r="Q145" s="9" t="str">
        <f>IF($A145="","",IF($O145="", "", ROUND($O145*Settings!$B$2+Settings!$B$3,2)))</f>
        <v/>
      </c>
      <c r="R145" s="9" t="str">
        <f>IF($A145="","",IF($L145="", "", Settings!$B$4))</f>
        <v/>
      </c>
      <c r="S145" s="9" t="str">
        <f t="shared" si="20"/>
        <v/>
      </c>
      <c r="T145" s="9" t="str">
        <f t="shared" si="21"/>
        <v/>
      </c>
      <c r="U145" s="9" t="str">
        <f>IF($A145="","",IF($K145="", "", ROUND((($K145 + Settings!$B$3 + $R145) - IF($M145="",0,$M145))/(1-Settings!$B$2),2)))</f>
        <v/>
      </c>
      <c r="V145" s="9" t="str">
        <f>IF($A145="","",$L145-($L145*Settings!$B$2)-$J145-($B145+SUM($D145:$I145)))</f>
        <v/>
      </c>
      <c r="W145" s="9" t="str">
        <f>IF($A145="","",(($B145+SUM($D145:$I145)+$J145+Settings!$B$3)/(1-Settings!$B$2))-$M145)</f>
        <v/>
      </c>
      <c r="X145" s="10" t="str">
        <f t="shared" si="22"/>
        <v/>
      </c>
      <c r="Y145" s="10" t="str">
        <f t="shared" si="23"/>
        <v/>
      </c>
      <c r="Z145" s="10" t="str">
        <f t="shared" si="24"/>
        <v/>
      </c>
      <c r="AA145" s="10" t="str">
        <f t="shared" si="25"/>
        <v/>
      </c>
      <c r="AC145" s="11"/>
      <c r="AD145" s="11"/>
      <c r="AE145" s="12" t="str">
        <f t="shared" si="26"/>
        <v/>
      </c>
    </row>
    <row r="146" spans="2:31" x14ac:dyDescent="0.25">
      <c r="B146" s="9"/>
      <c r="C146" t="s">
        <v>31</v>
      </c>
      <c r="D146" s="9" t="str">
        <f>IF($A146="","",1*'Material Costs'!$D$3)</f>
        <v/>
      </c>
      <c r="E146" s="9" t="str">
        <f>IF($A146="","",1*'Material Costs'!$D$2)</f>
        <v/>
      </c>
      <c r="F146" s="9" t="str">
        <f>IF($A146="","",IF($C146="Bubble Mailer",2,1)*'Material Costs'!$D$6)</f>
        <v/>
      </c>
      <c r="G146" s="9" t="str">
        <f>IF($A146="","",1*'Material Costs'!$D$7)</f>
        <v/>
      </c>
      <c r="H146" s="9" t="str">
        <f>IF($A146="","",IF($C146="Bubble Mailer",1,0)*'Material Costs'!$D$5)</f>
        <v/>
      </c>
      <c r="I146" s="9" t="str">
        <f>IF($A146="","",IF($C146="ESE (Ding Defend)",1,0)*'Material Costs'!$D$4)</f>
        <v/>
      </c>
      <c r="J146" s="9"/>
      <c r="K146" s="9" t="str">
        <f t="shared" si="18"/>
        <v/>
      </c>
      <c r="L146" s="9"/>
      <c r="M146" s="9"/>
      <c r="N146" s="9"/>
      <c r="O146" s="9" t="str">
        <f t="shared" si="19"/>
        <v/>
      </c>
      <c r="P146" s="9"/>
      <c r="Q146" s="9" t="str">
        <f>IF($A146="","",IF($O146="", "", ROUND($O146*Settings!$B$2+Settings!$B$3,2)))</f>
        <v/>
      </c>
      <c r="R146" s="9" t="str">
        <f>IF($A146="","",IF($L146="", "", Settings!$B$4))</f>
        <v/>
      </c>
      <c r="S146" s="9" t="str">
        <f t="shared" si="20"/>
        <v/>
      </c>
      <c r="T146" s="9" t="str">
        <f t="shared" si="21"/>
        <v/>
      </c>
      <c r="U146" s="9" t="str">
        <f>IF($A146="","",IF($K146="", "", ROUND((($K146 + Settings!$B$3 + $R146) - IF($M146="",0,$M146))/(1-Settings!$B$2),2)))</f>
        <v/>
      </c>
      <c r="V146" s="9" t="str">
        <f>IF($A146="","",$L146-($L146*Settings!$B$2)-$J146-($B146+SUM($D146:$I146)))</f>
        <v/>
      </c>
      <c r="W146" s="9" t="str">
        <f>IF($A146="","",(($B146+SUM($D146:$I146)+$J146+Settings!$B$3)/(1-Settings!$B$2))-$M146)</f>
        <v/>
      </c>
      <c r="X146" s="10" t="str">
        <f t="shared" si="22"/>
        <v/>
      </c>
      <c r="Y146" s="10" t="str">
        <f t="shared" si="23"/>
        <v/>
      </c>
      <c r="Z146" s="10" t="str">
        <f t="shared" si="24"/>
        <v/>
      </c>
      <c r="AA146" s="10" t="str">
        <f t="shared" si="25"/>
        <v/>
      </c>
      <c r="AC146" s="11"/>
      <c r="AD146" s="11"/>
      <c r="AE146" s="12" t="str">
        <f t="shared" si="26"/>
        <v/>
      </c>
    </row>
    <row r="147" spans="2:31" x14ac:dyDescent="0.25">
      <c r="B147" s="9"/>
      <c r="C147" t="s">
        <v>31</v>
      </c>
      <c r="D147" s="9" t="str">
        <f>IF($A147="","",1*'Material Costs'!$D$3)</f>
        <v/>
      </c>
      <c r="E147" s="9" t="str">
        <f>IF($A147="","",1*'Material Costs'!$D$2)</f>
        <v/>
      </c>
      <c r="F147" s="9" t="str">
        <f>IF($A147="","",IF($C147="Bubble Mailer",2,1)*'Material Costs'!$D$6)</f>
        <v/>
      </c>
      <c r="G147" s="9" t="str">
        <f>IF($A147="","",1*'Material Costs'!$D$7)</f>
        <v/>
      </c>
      <c r="H147" s="9" t="str">
        <f>IF($A147="","",IF($C147="Bubble Mailer",1,0)*'Material Costs'!$D$5)</f>
        <v/>
      </c>
      <c r="I147" s="9" t="str">
        <f>IF($A147="","",IF($C147="ESE (Ding Defend)",1,0)*'Material Costs'!$D$4)</f>
        <v/>
      </c>
      <c r="J147" s="9"/>
      <c r="K147" s="9" t="str">
        <f t="shared" si="18"/>
        <v/>
      </c>
      <c r="L147" s="9"/>
      <c r="M147" s="9"/>
      <c r="N147" s="9"/>
      <c r="O147" s="9" t="str">
        <f t="shared" si="19"/>
        <v/>
      </c>
      <c r="P147" s="9"/>
      <c r="Q147" s="9" t="str">
        <f>IF($A147="","",IF($O147="", "", ROUND($O147*Settings!$B$2+Settings!$B$3,2)))</f>
        <v/>
      </c>
      <c r="R147" s="9" t="str">
        <f>IF($A147="","",IF($L147="", "", Settings!$B$4))</f>
        <v/>
      </c>
      <c r="S147" s="9" t="str">
        <f t="shared" si="20"/>
        <v/>
      </c>
      <c r="T147" s="9" t="str">
        <f t="shared" si="21"/>
        <v/>
      </c>
      <c r="U147" s="9" t="str">
        <f>IF($A147="","",IF($K147="", "", ROUND((($K147 + Settings!$B$3 + $R147) - IF($M147="",0,$M147))/(1-Settings!$B$2),2)))</f>
        <v/>
      </c>
      <c r="V147" s="9" t="str">
        <f>IF($A147="","",$L147-($L147*Settings!$B$2)-$J147-($B147+SUM($D147:$I147)))</f>
        <v/>
      </c>
      <c r="W147" s="9" t="str">
        <f>IF($A147="","",(($B147+SUM($D147:$I147)+$J147+Settings!$B$3)/(1-Settings!$B$2))-$M147)</f>
        <v/>
      </c>
      <c r="X147" s="10" t="str">
        <f t="shared" si="22"/>
        <v/>
      </c>
      <c r="Y147" s="10" t="str">
        <f t="shared" si="23"/>
        <v/>
      </c>
      <c r="Z147" s="10" t="str">
        <f t="shared" si="24"/>
        <v/>
      </c>
      <c r="AA147" s="10" t="str">
        <f t="shared" si="25"/>
        <v/>
      </c>
      <c r="AC147" s="11"/>
      <c r="AD147" s="11"/>
      <c r="AE147" s="12" t="str">
        <f t="shared" si="26"/>
        <v/>
      </c>
    </row>
    <row r="148" spans="2:31" x14ac:dyDescent="0.25">
      <c r="B148" s="9"/>
      <c r="C148" t="s">
        <v>31</v>
      </c>
      <c r="D148" s="9" t="str">
        <f>IF($A148="","",1*'Material Costs'!$D$3)</f>
        <v/>
      </c>
      <c r="E148" s="9" t="str">
        <f>IF($A148="","",1*'Material Costs'!$D$2)</f>
        <v/>
      </c>
      <c r="F148" s="9" t="str">
        <f>IF($A148="","",IF($C148="Bubble Mailer",2,1)*'Material Costs'!$D$6)</f>
        <v/>
      </c>
      <c r="G148" s="9" t="str">
        <f>IF($A148="","",1*'Material Costs'!$D$7)</f>
        <v/>
      </c>
      <c r="H148" s="9" t="str">
        <f>IF($A148="","",IF($C148="Bubble Mailer",1,0)*'Material Costs'!$D$5)</f>
        <v/>
      </c>
      <c r="I148" s="9" t="str">
        <f>IF($A148="","",IF($C148="ESE (Ding Defend)",1,0)*'Material Costs'!$D$4)</f>
        <v/>
      </c>
      <c r="J148" s="9"/>
      <c r="K148" s="9" t="str">
        <f t="shared" si="18"/>
        <v/>
      </c>
      <c r="L148" s="9"/>
      <c r="M148" s="9"/>
      <c r="N148" s="9"/>
      <c r="O148" s="9" t="str">
        <f t="shared" si="19"/>
        <v/>
      </c>
      <c r="P148" s="9"/>
      <c r="Q148" s="9" t="str">
        <f>IF($A148="","",IF($O148="", "", ROUND($O148*Settings!$B$2+Settings!$B$3,2)))</f>
        <v/>
      </c>
      <c r="R148" s="9" t="str">
        <f>IF($A148="","",IF($L148="", "", Settings!$B$4))</f>
        <v/>
      </c>
      <c r="S148" s="9" t="str">
        <f t="shared" si="20"/>
        <v/>
      </c>
      <c r="T148" s="9" t="str">
        <f t="shared" si="21"/>
        <v/>
      </c>
      <c r="U148" s="9" t="str">
        <f>IF($A148="","",IF($K148="", "", ROUND((($K148 + Settings!$B$3 + $R148) - IF($M148="",0,$M148))/(1-Settings!$B$2),2)))</f>
        <v/>
      </c>
      <c r="V148" s="9" t="str">
        <f>IF($A148="","",$L148-($L148*Settings!$B$2)-$J148-($B148+SUM($D148:$I148)))</f>
        <v/>
      </c>
      <c r="W148" s="9" t="str">
        <f>IF($A148="","",(($B148+SUM($D148:$I148)+$J148+Settings!$B$3)/(1-Settings!$B$2))-$M148)</f>
        <v/>
      </c>
      <c r="X148" s="10" t="str">
        <f t="shared" si="22"/>
        <v/>
      </c>
      <c r="Y148" s="10" t="str">
        <f t="shared" si="23"/>
        <v/>
      </c>
      <c r="Z148" s="10" t="str">
        <f t="shared" si="24"/>
        <v/>
      </c>
      <c r="AA148" s="10" t="str">
        <f t="shared" si="25"/>
        <v/>
      </c>
      <c r="AC148" s="11"/>
      <c r="AD148" s="11"/>
      <c r="AE148" s="12" t="str">
        <f t="shared" si="26"/>
        <v/>
      </c>
    </row>
    <row r="149" spans="2:31" x14ac:dyDescent="0.25">
      <c r="B149" s="9"/>
      <c r="C149" t="s">
        <v>31</v>
      </c>
      <c r="D149" s="9" t="str">
        <f>IF($A149="","",1*'Material Costs'!$D$3)</f>
        <v/>
      </c>
      <c r="E149" s="9" t="str">
        <f>IF($A149="","",1*'Material Costs'!$D$2)</f>
        <v/>
      </c>
      <c r="F149" s="9" t="str">
        <f>IF($A149="","",IF($C149="Bubble Mailer",2,1)*'Material Costs'!$D$6)</f>
        <v/>
      </c>
      <c r="G149" s="9" t="str">
        <f>IF($A149="","",1*'Material Costs'!$D$7)</f>
        <v/>
      </c>
      <c r="H149" s="9" t="str">
        <f>IF($A149="","",IF($C149="Bubble Mailer",1,0)*'Material Costs'!$D$5)</f>
        <v/>
      </c>
      <c r="I149" s="9" t="str">
        <f>IF($A149="","",IF($C149="ESE (Ding Defend)",1,0)*'Material Costs'!$D$4)</f>
        <v/>
      </c>
      <c r="J149" s="9"/>
      <c r="K149" s="9" t="str">
        <f t="shared" si="18"/>
        <v/>
      </c>
      <c r="L149" s="9"/>
      <c r="M149" s="9"/>
      <c r="N149" s="9"/>
      <c r="O149" s="9" t="str">
        <f t="shared" si="19"/>
        <v/>
      </c>
      <c r="P149" s="9"/>
      <c r="Q149" s="9" t="str">
        <f>IF($A149="","",IF($O149="", "", ROUND($O149*Settings!$B$2+Settings!$B$3,2)))</f>
        <v/>
      </c>
      <c r="R149" s="9" t="str">
        <f>IF($A149="","",IF($L149="", "", Settings!$B$4))</f>
        <v/>
      </c>
      <c r="S149" s="9" t="str">
        <f t="shared" si="20"/>
        <v/>
      </c>
      <c r="T149" s="9" t="str">
        <f t="shared" si="21"/>
        <v/>
      </c>
      <c r="U149" s="9" t="str">
        <f>IF($A149="","",IF($K149="", "", ROUND((($K149 + Settings!$B$3 + $R149) - IF($M149="",0,$M149))/(1-Settings!$B$2),2)))</f>
        <v/>
      </c>
      <c r="V149" s="9" t="str">
        <f>IF($A149="","",$L149-($L149*Settings!$B$2)-$J149-($B149+SUM($D149:$I149)))</f>
        <v/>
      </c>
      <c r="W149" s="9" t="str">
        <f>IF($A149="","",(($B149+SUM($D149:$I149)+$J149+Settings!$B$3)/(1-Settings!$B$2))-$M149)</f>
        <v/>
      </c>
      <c r="X149" s="10" t="str">
        <f t="shared" si="22"/>
        <v/>
      </c>
      <c r="Y149" s="10" t="str">
        <f t="shared" si="23"/>
        <v/>
      </c>
      <c r="Z149" s="10" t="str">
        <f t="shared" si="24"/>
        <v/>
      </c>
      <c r="AA149" s="10" t="str">
        <f t="shared" si="25"/>
        <v/>
      </c>
      <c r="AC149" s="11"/>
      <c r="AD149" s="11"/>
      <c r="AE149" s="12" t="str">
        <f t="shared" si="26"/>
        <v/>
      </c>
    </row>
    <row r="150" spans="2:31" x14ac:dyDescent="0.25">
      <c r="B150" s="9"/>
      <c r="C150" t="s">
        <v>31</v>
      </c>
      <c r="D150" s="9" t="str">
        <f>IF($A150="","",1*'Material Costs'!$D$3)</f>
        <v/>
      </c>
      <c r="E150" s="9" t="str">
        <f>IF($A150="","",1*'Material Costs'!$D$2)</f>
        <v/>
      </c>
      <c r="F150" s="9" t="str">
        <f>IF($A150="","",IF($C150="Bubble Mailer",2,1)*'Material Costs'!$D$6)</f>
        <v/>
      </c>
      <c r="G150" s="9" t="str">
        <f>IF($A150="","",1*'Material Costs'!$D$7)</f>
        <v/>
      </c>
      <c r="H150" s="9" t="str">
        <f>IF($A150="","",IF($C150="Bubble Mailer",1,0)*'Material Costs'!$D$5)</f>
        <v/>
      </c>
      <c r="I150" s="9" t="str">
        <f>IF($A150="","",IF($C150="ESE (Ding Defend)",1,0)*'Material Costs'!$D$4)</f>
        <v/>
      </c>
      <c r="J150" s="9"/>
      <c r="K150" s="9" t="str">
        <f t="shared" si="18"/>
        <v/>
      </c>
      <c r="L150" s="9"/>
      <c r="M150" s="9"/>
      <c r="N150" s="9"/>
      <c r="O150" s="9" t="str">
        <f t="shared" si="19"/>
        <v/>
      </c>
      <c r="P150" s="9"/>
      <c r="Q150" s="9" t="str">
        <f>IF($A150="","",IF($O150="", "", ROUND($O150*Settings!$B$2+Settings!$B$3,2)))</f>
        <v/>
      </c>
      <c r="R150" s="9" t="str">
        <f>IF($A150="","",IF($L150="", "", Settings!$B$4))</f>
        <v/>
      </c>
      <c r="S150" s="9" t="str">
        <f t="shared" si="20"/>
        <v/>
      </c>
      <c r="T150" s="9" t="str">
        <f t="shared" si="21"/>
        <v/>
      </c>
      <c r="U150" s="9" t="str">
        <f>IF($A150="","",IF($K150="", "", ROUND((($K150 + Settings!$B$3 + $R150) - IF($M150="",0,$M150))/(1-Settings!$B$2),2)))</f>
        <v/>
      </c>
      <c r="V150" s="9" t="str">
        <f>IF($A150="","",$L150-($L150*Settings!$B$2)-$J150-($B150+SUM($D150:$I150)))</f>
        <v/>
      </c>
      <c r="W150" s="9" t="str">
        <f>IF($A150="","",(($B150+SUM($D150:$I150)+$J150+Settings!$B$3)/(1-Settings!$B$2))-$M150)</f>
        <v/>
      </c>
      <c r="X150" s="10" t="str">
        <f t="shared" si="22"/>
        <v/>
      </c>
      <c r="Y150" s="10" t="str">
        <f t="shared" si="23"/>
        <v/>
      </c>
      <c r="Z150" s="10" t="str">
        <f t="shared" si="24"/>
        <v/>
      </c>
      <c r="AA150" s="10" t="str">
        <f t="shared" si="25"/>
        <v/>
      </c>
      <c r="AC150" s="11"/>
      <c r="AD150" s="11"/>
      <c r="AE150" s="12" t="str">
        <f t="shared" si="26"/>
        <v/>
      </c>
    </row>
    <row r="151" spans="2:31" x14ac:dyDescent="0.25">
      <c r="B151" s="9"/>
      <c r="C151" t="s">
        <v>31</v>
      </c>
      <c r="D151" s="9" t="str">
        <f>IF($A151="","",1*'Material Costs'!$D$3)</f>
        <v/>
      </c>
      <c r="E151" s="9" t="str">
        <f>IF($A151="","",1*'Material Costs'!$D$2)</f>
        <v/>
      </c>
      <c r="F151" s="9" t="str">
        <f>IF($A151="","",IF($C151="Bubble Mailer",2,1)*'Material Costs'!$D$6)</f>
        <v/>
      </c>
      <c r="G151" s="9" t="str">
        <f>IF($A151="","",1*'Material Costs'!$D$7)</f>
        <v/>
      </c>
      <c r="H151" s="9" t="str">
        <f>IF($A151="","",IF($C151="Bubble Mailer",1,0)*'Material Costs'!$D$5)</f>
        <v/>
      </c>
      <c r="I151" s="9" t="str">
        <f>IF($A151="","",IF($C151="ESE (Ding Defend)",1,0)*'Material Costs'!$D$4)</f>
        <v/>
      </c>
      <c r="J151" s="9"/>
      <c r="K151" s="9" t="str">
        <f t="shared" si="18"/>
        <v/>
      </c>
      <c r="L151" s="9"/>
      <c r="M151" s="9"/>
      <c r="N151" s="9"/>
      <c r="O151" s="9" t="str">
        <f t="shared" si="19"/>
        <v/>
      </c>
      <c r="P151" s="9"/>
      <c r="Q151" s="9" t="str">
        <f>IF($A151="","",IF($O151="", "", ROUND($O151*Settings!$B$2+Settings!$B$3,2)))</f>
        <v/>
      </c>
      <c r="R151" s="9" t="str">
        <f>IF($A151="","",IF($L151="", "", Settings!$B$4))</f>
        <v/>
      </c>
      <c r="S151" s="9" t="str">
        <f t="shared" si="20"/>
        <v/>
      </c>
      <c r="T151" s="9" t="str">
        <f t="shared" si="21"/>
        <v/>
      </c>
      <c r="U151" s="9" t="str">
        <f>IF($A151="","",IF($K151="", "", ROUND((($K151 + Settings!$B$3 + $R151) - IF($M151="",0,$M151))/(1-Settings!$B$2),2)))</f>
        <v/>
      </c>
      <c r="V151" s="9" t="str">
        <f>IF($A151="","",$L151-($L151*Settings!$B$2)-$J151-($B151+SUM($D151:$I151)))</f>
        <v/>
      </c>
      <c r="W151" s="9" t="str">
        <f>IF($A151="","",(($B151+SUM($D151:$I151)+$J151+Settings!$B$3)/(1-Settings!$B$2))-$M151)</f>
        <v/>
      </c>
      <c r="X151" s="10" t="str">
        <f t="shared" si="22"/>
        <v/>
      </c>
      <c r="Y151" s="10" t="str">
        <f t="shared" si="23"/>
        <v/>
      </c>
      <c r="Z151" s="10" t="str">
        <f t="shared" si="24"/>
        <v/>
      </c>
      <c r="AA151" s="10" t="str">
        <f t="shared" si="25"/>
        <v/>
      </c>
      <c r="AC151" s="11"/>
      <c r="AD151" s="11"/>
      <c r="AE151" s="12" t="str">
        <f t="shared" si="26"/>
        <v/>
      </c>
    </row>
    <row r="152" spans="2:31" x14ac:dyDescent="0.25">
      <c r="B152" s="9"/>
      <c r="C152" t="s">
        <v>31</v>
      </c>
      <c r="D152" s="9" t="str">
        <f>IF($A152="","",1*'Material Costs'!$D$3)</f>
        <v/>
      </c>
      <c r="E152" s="9" t="str">
        <f>IF($A152="","",1*'Material Costs'!$D$2)</f>
        <v/>
      </c>
      <c r="F152" s="9" t="str">
        <f>IF($A152="","",IF($C152="Bubble Mailer",2,1)*'Material Costs'!$D$6)</f>
        <v/>
      </c>
      <c r="G152" s="9" t="str">
        <f>IF($A152="","",1*'Material Costs'!$D$7)</f>
        <v/>
      </c>
      <c r="H152" s="9" t="str">
        <f>IF($A152="","",IF($C152="Bubble Mailer",1,0)*'Material Costs'!$D$5)</f>
        <v/>
      </c>
      <c r="I152" s="9" t="str">
        <f>IF($A152="","",IF($C152="ESE (Ding Defend)",1,0)*'Material Costs'!$D$4)</f>
        <v/>
      </c>
      <c r="J152" s="9"/>
      <c r="K152" s="9" t="str">
        <f t="shared" si="18"/>
        <v/>
      </c>
      <c r="L152" s="9"/>
      <c r="M152" s="9"/>
      <c r="N152" s="9"/>
      <c r="O152" s="9" t="str">
        <f t="shared" si="19"/>
        <v/>
      </c>
      <c r="P152" s="9"/>
      <c r="Q152" s="9" t="str">
        <f>IF($A152="","",IF($O152="", "", ROUND($O152*Settings!$B$2+Settings!$B$3,2)))</f>
        <v/>
      </c>
      <c r="R152" s="9" t="str">
        <f>IF($A152="","",IF($L152="", "", Settings!$B$4))</f>
        <v/>
      </c>
      <c r="S152" s="9" t="str">
        <f t="shared" si="20"/>
        <v/>
      </c>
      <c r="T152" s="9" t="str">
        <f t="shared" si="21"/>
        <v/>
      </c>
      <c r="U152" s="9" t="str">
        <f>IF($A152="","",IF($K152="", "", ROUND((($K152 + Settings!$B$3 + $R152) - IF($M152="",0,$M152))/(1-Settings!$B$2),2)))</f>
        <v/>
      </c>
      <c r="V152" s="9" t="str">
        <f>IF($A152="","",$L152-($L152*Settings!$B$2)-$J152-($B152+SUM($D152:$I152)))</f>
        <v/>
      </c>
      <c r="W152" s="9" t="str">
        <f>IF($A152="","",(($B152+SUM($D152:$I152)+$J152+Settings!$B$3)/(1-Settings!$B$2))-$M152)</f>
        <v/>
      </c>
      <c r="X152" s="10" t="str">
        <f t="shared" si="22"/>
        <v/>
      </c>
      <c r="Y152" s="10" t="str">
        <f t="shared" si="23"/>
        <v/>
      </c>
      <c r="Z152" s="10" t="str">
        <f t="shared" si="24"/>
        <v/>
      </c>
      <c r="AA152" s="10" t="str">
        <f t="shared" si="25"/>
        <v/>
      </c>
      <c r="AC152" s="11"/>
      <c r="AD152" s="11"/>
      <c r="AE152" s="12" t="str">
        <f t="shared" si="26"/>
        <v/>
      </c>
    </row>
    <row r="153" spans="2:31" x14ac:dyDescent="0.25">
      <c r="B153" s="9"/>
      <c r="C153" t="s">
        <v>31</v>
      </c>
      <c r="D153" s="9" t="str">
        <f>IF($A153="","",1*'Material Costs'!$D$3)</f>
        <v/>
      </c>
      <c r="E153" s="9" t="str">
        <f>IF($A153="","",1*'Material Costs'!$D$2)</f>
        <v/>
      </c>
      <c r="F153" s="9" t="str">
        <f>IF($A153="","",IF($C153="Bubble Mailer",2,1)*'Material Costs'!$D$6)</f>
        <v/>
      </c>
      <c r="G153" s="9" t="str">
        <f>IF($A153="","",1*'Material Costs'!$D$7)</f>
        <v/>
      </c>
      <c r="H153" s="9" t="str">
        <f>IF($A153="","",IF($C153="Bubble Mailer",1,0)*'Material Costs'!$D$5)</f>
        <v/>
      </c>
      <c r="I153" s="9" t="str">
        <f>IF($A153="","",IF($C153="ESE (Ding Defend)",1,0)*'Material Costs'!$D$4)</f>
        <v/>
      </c>
      <c r="J153" s="9"/>
      <c r="K153" s="9" t="str">
        <f t="shared" si="18"/>
        <v/>
      </c>
      <c r="L153" s="9"/>
      <c r="M153" s="9"/>
      <c r="N153" s="9"/>
      <c r="O153" s="9" t="str">
        <f t="shared" si="19"/>
        <v/>
      </c>
      <c r="P153" s="9"/>
      <c r="Q153" s="9" t="str">
        <f>IF($A153="","",IF($O153="", "", ROUND($O153*Settings!$B$2+Settings!$B$3,2)))</f>
        <v/>
      </c>
      <c r="R153" s="9" t="str">
        <f>IF($A153="","",IF($L153="", "", Settings!$B$4))</f>
        <v/>
      </c>
      <c r="S153" s="9" t="str">
        <f t="shared" si="20"/>
        <v/>
      </c>
      <c r="T153" s="9" t="str">
        <f t="shared" si="21"/>
        <v/>
      </c>
      <c r="U153" s="9" t="str">
        <f>IF($A153="","",IF($K153="", "", ROUND((($K153 + Settings!$B$3 + $R153) - IF($M153="",0,$M153))/(1-Settings!$B$2),2)))</f>
        <v/>
      </c>
      <c r="V153" s="9" t="str">
        <f>IF($A153="","",$L153-($L153*Settings!$B$2)-$J153-($B153+SUM($D153:$I153)))</f>
        <v/>
      </c>
      <c r="W153" s="9" t="str">
        <f>IF($A153="","",(($B153+SUM($D153:$I153)+$J153+Settings!$B$3)/(1-Settings!$B$2))-$M153)</f>
        <v/>
      </c>
      <c r="X153" s="10" t="str">
        <f t="shared" si="22"/>
        <v/>
      </c>
      <c r="Y153" s="10" t="str">
        <f t="shared" si="23"/>
        <v/>
      </c>
      <c r="Z153" s="10" t="str">
        <f t="shared" si="24"/>
        <v/>
      </c>
      <c r="AA153" s="10" t="str">
        <f t="shared" si="25"/>
        <v/>
      </c>
      <c r="AC153" s="11"/>
      <c r="AD153" s="11"/>
      <c r="AE153" s="12" t="str">
        <f t="shared" si="26"/>
        <v/>
      </c>
    </row>
    <row r="154" spans="2:31" x14ac:dyDescent="0.25">
      <c r="B154" s="9"/>
      <c r="C154" t="s">
        <v>31</v>
      </c>
      <c r="D154" s="9" t="str">
        <f>IF($A154="","",1*'Material Costs'!$D$3)</f>
        <v/>
      </c>
      <c r="E154" s="9" t="str">
        <f>IF($A154="","",1*'Material Costs'!$D$2)</f>
        <v/>
      </c>
      <c r="F154" s="9" t="str">
        <f>IF($A154="","",IF($C154="Bubble Mailer",2,1)*'Material Costs'!$D$6)</f>
        <v/>
      </c>
      <c r="G154" s="9" t="str">
        <f>IF($A154="","",1*'Material Costs'!$D$7)</f>
        <v/>
      </c>
      <c r="H154" s="9" t="str">
        <f>IF($A154="","",IF($C154="Bubble Mailer",1,0)*'Material Costs'!$D$5)</f>
        <v/>
      </c>
      <c r="I154" s="9" t="str">
        <f>IF($A154="","",IF($C154="ESE (Ding Defend)",1,0)*'Material Costs'!$D$4)</f>
        <v/>
      </c>
      <c r="J154" s="9"/>
      <c r="K154" s="9" t="str">
        <f t="shared" si="18"/>
        <v/>
      </c>
      <c r="L154" s="9"/>
      <c r="M154" s="9"/>
      <c r="N154" s="9"/>
      <c r="O154" s="9" t="str">
        <f t="shared" si="19"/>
        <v/>
      </c>
      <c r="P154" s="9"/>
      <c r="Q154" s="9" t="str">
        <f>IF($A154="","",IF($O154="", "", ROUND($O154*Settings!$B$2+Settings!$B$3,2)))</f>
        <v/>
      </c>
      <c r="R154" s="9" t="str">
        <f>IF($A154="","",IF($L154="", "", Settings!$B$4))</f>
        <v/>
      </c>
      <c r="S154" s="9" t="str">
        <f t="shared" si="20"/>
        <v/>
      </c>
      <c r="T154" s="9" t="str">
        <f t="shared" si="21"/>
        <v/>
      </c>
      <c r="U154" s="9" t="str">
        <f>IF($A154="","",IF($K154="", "", ROUND((($K154 + Settings!$B$3 + $R154) - IF($M154="",0,$M154))/(1-Settings!$B$2),2)))</f>
        <v/>
      </c>
      <c r="V154" s="9" t="str">
        <f>IF($A154="","",$L154-($L154*Settings!$B$2)-$J154-($B154+SUM($D154:$I154)))</f>
        <v/>
      </c>
      <c r="W154" s="9" t="str">
        <f>IF($A154="","",(($B154+SUM($D154:$I154)+$J154+Settings!$B$3)/(1-Settings!$B$2))-$M154)</f>
        <v/>
      </c>
      <c r="X154" s="10" t="str">
        <f t="shared" si="22"/>
        <v/>
      </c>
      <c r="Y154" s="10" t="str">
        <f t="shared" si="23"/>
        <v/>
      </c>
      <c r="Z154" s="10" t="str">
        <f t="shared" si="24"/>
        <v/>
      </c>
      <c r="AA154" s="10" t="str">
        <f t="shared" si="25"/>
        <v/>
      </c>
      <c r="AC154" s="11"/>
      <c r="AD154" s="11"/>
      <c r="AE154" s="12" t="str">
        <f t="shared" si="26"/>
        <v/>
      </c>
    </row>
    <row r="155" spans="2:31" x14ac:dyDescent="0.25">
      <c r="B155" s="9"/>
      <c r="C155" t="s">
        <v>31</v>
      </c>
      <c r="D155" s="9" t="str">
        <f>IF($A155="","",1*'Material Costs'!$D$3)</f>
        <v/>
      </c>
      <c r="E155" s="9" t="str">
        <f>IF($A155="","",1*'Material Costs'!$D$2)</f>
        <v/>
      </c>
      <c r="F155" s="9" t="str">
        <f>IF($A155="","",IF($C155="Bubble Mailer",2,1)*'Material Costs'!$D$6)</f>
        <v/>
      </c>
      <c r="G155" s="9" t="str">
        <f>IF($A155="","",1*'Material Costs'!$D$7)</f>
        <v/>
      </c>
      <c r="H155" s="9" t="str">
        <f>IF($A155="","",IF($C155="Bubble Mailer",1,0)*'Material Costs'!$D$5)</f>
        <v/>
      </c>
      <c r="I155" s="9" t="str">
        <f>IF($A155="","",IF($C155="ESE (Ding Defend)",1,0)*'Material Costs'!$D$4)</f>
        <v/>
      </c>
      <c r="J155" s="9"/>
      <c r="K155" s="9" t="str">
        <f t="shared" si="18"/>
        <v/>
      </c>
      <c r="L155" s="9"/>
      <c r="M155" s="9"/>
      <c r="N155" s="9"/>
      <c r="O155" s="9" t="str">
        <f t="shared" si="19"/>
        <v/>
      </c>
      <c r="P155" s="9"/>
      <c r="Q155" s="9" t="str">
        <f>IF($A155="","",IF($O155="", "", ROUND($O155*Settings!$B$2+Settings!$B$3,2)))</f>
        <v/>
      </c>
      <c r="R155" s="9" t="str">
        <f>IF($A155="","",IF($L155="", "", Settings!$B$4))</f>
        <v/>
      </c>
      <c r="S155" s="9" t="str">
        <f t="shared" si="20"/>
        <v/>
      </c>
      <c r="T155" s="9" t="str">
        <f t="shared" si="21"/>
        <v/>
      </c>
      <c r="U155" s="9" t="str">
        <f>IF($A155="","",IF($K155="", "", ROUND((($K155 + Settings!$B$3 + $R155) - IF($M155="",0,$M155))/(1-Settings!$B$2),2)))</f>
        <v/>
      </c>
      <c r="V155" s="9" t="str">
        <f>IF($A155="","",$L155-($L155*Settings!$B$2)-$J155-($B155+SUM($D155:$I155)))</f>
        <v/>
      </c>
      <c r="W155" s="9" t="str">
        <f>IF($A155="","",(($B155+SUM($D155:$I155)+$J155+Settings!$B$3)/(1-Settings!$B$2))-$M155)</f>
        <v/>
      </c>
      <c r="X155" s="10" t="str">
        <f t="shared" si="22"/>
        <v/>
      </c>
      <c r="Y155" s="10" t="str">
        <f t="shared" si="23"/>
        <v/>
      </c>
      <c r="Z155" s="10" t="str">
        <f t="shared" si="24"/>
        <v/>
      </c>
      <c r="AA155" s="10" t="str">
        <f t="shared" si="25"/>
        <v/>
      </c>
      <c r="AC155" s="11"/>
      <c r="AD155" s="11"/>
      <c r="AE155" s="12" t="str">
        <f t="shared" si="26"/>
        <v/>
      </c>
    </row>
    <row r="156" spans="2:31" x14ac:dyDescent="0.25">
      <c r="B156" s="9"/>
      <c r="C156" t="s">
        <v>31</v>
      </c>
      <c r="D156" s="9" t="str">
        <f>IF($A156="","",1*'Material Costs'!$D$3)</f>
        <v/>
      </c>
      <c r="E156" s="9" t="str">
        <f>IF($A156="","",1*'Material Costs'!$D$2)</f>
        <v/>
      </c>
      <c r="F156" s="9" t="str">
        <f>IF($A156="","",IF($C156="Bubble Mailer",2,1)*'Material Costs'!$D$6)</f>
        <v/>
      </c>
      <c r="G156" s="9" t="str">
        <f>IF($A156="","",1*'Material Costs'!$D$7)</f>
        <v/>
      </c>
      <c r="H156" s="9" t="str">
        <f>IF($A156="","",IF($C156="Bubble Mailer",1,0)*'Material Costs'!$D$5)</f>
        <v/>
      </c>
      <c r="I156" s="9" t="str">
        <f>IF($A156="","",IF($C156="ESE (Ding Defend)",1,0)*'Material Costs'!$D$4)</f>
        <v/>
      </c>
      <c r="J156" s="9"/>
      <c r="K156" s="9" t="str">
        <f t="shared" si="18"/>
        <v/>
      </c>
      <c r="L156" s="9"/>
      <c r="M156" s="9"/>
      <c r="N156" s="9"/>
      <c r="O156" s="9" t="str">
        <f t="shared" si="19"/>
        <v/>
      </c>
      <c r="P156" s="9"/>
      <c r="Q156" s="9" t="str">
        <f>IF($A156="","",IF($O156="", "", ROUND($O156*Settings!$B$2+Settings!$B$3,2)))</f>
        <v/>
      </c>
      <c r="R156" s="9" t="str">
        <f>IF($A156="","",IF($L156="", "", Settings!$B$4))</f>
        <v/>
      </c>
      <c r="S156" s="9" t="str">
        <f t="shared" si="20"/>
        <v/>
      </c>
      <c r="T156" s="9" t="str">
        <f t="shared" si="21"/>
        <v/>
      </c>
      <c r="U156" s="9" t="str">
        <f>IF($A156="","",IF($K156="", "", ROUND((($K156 + Settings!$B$3 + $R156) - IF($M156="",0,$M156))/(1-Settings!$B$2),2)))</f>
        <v/>
      </c>
      <c r="V156" s="9" t="str">
        <f>IF($A156="","",$L156-($L156*Settings!$B$2)-$J156-($B156+SUM($D156:$I156)))</f>
        <v/>
      </c>
      <c r="W156" s="9" t="str">
        <f>IF($A156="","",(($B156+SUM($D156:$I156)+$J156+Settings!$B$3)/(1-Settings!$B$2))-$M156)</f>
        <v/>
      </c>
      <c r="X156" s="10" t="str">
        <f t="shared" si="22"/>
        <v/>
      </c>
      <c r="Y156" s="10" t="str">
        <f t="shared" si="23"/>
        <v/>
      </c>
      <c r="Z156" s="10" t="str">
        <f t="shared" si="24"/>
        <v/>
      </c>
      <c r="AA156" s="10" t="str">
        <f t="shared" si="25"/>
        <v/>
      </c>
      <c r="AC156" s="11"/>
      <c r="AD156" s="11"/>
      <c r="AE156" s="12" t="str">
        <f t="shared" si="26"/>
        <v/>
      </c>
    </row>
    <row r="157" spans="2:31" x14ac:dyDescent="0.25">
      <c r="B157" s="9"/>
      <c r="C157" t="s">
        <v>31</v>
      </c>
      <c r="D157" s="9" t="str">
        <f>IF($A157="","",1*'Material Costs'!$D$3)</f>
        <v/>
      </c>
      <c r="E157" s="9" t="str">
        <f>IF($A157="","",1*'Material Costs'!$D$2)</f>
        <v/>
      </c>
      <c r="F157" s="9" t="str">
        <f>IF($A157="","",IF($C157="Bubble Mailer",2,1)*'Material Costs'!$D$6)</f>
        <v/>
      </c>
      <c r="G157" s="9" t="str">
        <f>IF($A157="","",1*'Material Costs'!$D$7)</f>
        <v/>
      </c>
      <c r="H157" s="9" t="str">
        <f>IF($A157="","",IF($C157="Bubble Mailer",1,0)*'Material Costs'!$D$5)</f>
        <v/>
      </c>
      <c r="I157" s="9" t="str">
        <f>IF($A157="","",IF($C157="ESE (Ding Defend)",1,0)*'Material Costs'!$D$4)</f>
        <v/>
      </c>
      <c r="J157" s="9"/>
      <c r="K157" s="9" t="str">
        <f t="shared" si="18"/>
        <v/>
      </c>
      <c r="L157" s="9"/>
      <c r="M157" s="9"/>
      <c r="N157" s="9"/>
      <c r="O157" s="9" t="str">
        <f t="shared" si="19"/>
        <v/>
      </c>
      <c r="P157" s="9"/>
      <c r="Q157" s="9" t="str">
        <f>IF($A157="","",IF($O157="", "", ROUND($O157*Settings!$B$2+Settings!$B$3,2)))</f>
        <v/>
      </c>
      <c r="R157" s="9" t="str">
        <f>IF($A157="","",IF($L157="", "", Settings!$B$4))</f>
        <v/>
      </c>
      <c r="S157" s="9" t="str">
        <f t="shared" si="20"/>
        <v/>
      </c>
      <c r="T157" s="9" t="str">
        <f t="shared" si="21"/>
        <v/>
      </c>
      <c r="U157" s="9" t="str">
        <f>IF($A157="","",IF($K157="", "", ROUND((($K157 + Settings!$B$3 + $R157) - IF($M157="",0,$M157))/(1-Settings!$B$2),2)))</f>
        <v/>
      </c>
      <c r="V157" s="9" t="str">
        <f>IF($A157="","",$L157-($L157*Settings!$B$2)-$J157-($B157+SUM($D157:$I157)))</f>
        <v/>
      </c>
      <c r="W157" s="9" t="str">
        <f>IF($A157="","",(($B157+SUM($D157:$I157)+$J157+Settings!$B$3)/(1-Settings!$B$2))-$M157)</f>
        <v/>
      </c>
      <c r="X157" s="10" t="str">
        <f t="shared" si="22"/>
        <v/>
      </c>
      <c r="Y157" s="10" t="str">
        <f t="shared" si="23"/>
        <v/>
      </c>
      <c r="Z157" s="10" t="str">
        <f t="shared" si="24"/>
        <v/>
      </c>
      <c r="AA157" s="10" t="str">
        <f t="shared" si="25"/>
        <v/>
      </c>
      <c r="AC157" s="11"/>
      <c r="AD157" s="11"/>
      <c r="AE157" s="12" t="str">
        <f t="shared" si="26"/>
        <v/>
      </c>
    </row>
    <row r="158" spans="2:31" x14ac:dyDescent="0.25">
      <c r="B158" s="9"/>
      <c r="C158" t="s">
        <v>31</v>
      </c>
      <c r="D158" s="9" t="str">
        <f>IF($A158="","",1*'Material Costs'!$D$3)</f>
        <v/>
      </c>
      <c r="E158" s="9" t="str">
        <f>IF($A158="","",1*'Material Costs'!$D$2)</f>
        <v/>
      </c>
      <c r="F158" s="9" t="str">
        <f>IF($A158="","",IF($C158="Bubble Mailer",2,1)*'Material Costs'!$D$6)</f>
        <v/>
      </c>
      <c r="G158" s="9" t="str">
        <f>IF($A158="","",1*'Material Costs'!$D$7)</f>
        <v/>
      </c>
      <c r="H158" s="9" t="str">
        <f>IF($A158="","",IF($C158="Bubble Mailer",1,0)*'Material Costs'!$D$5)</f>
        <v/>
      </c>
      <c r="I158" s="9" t="str">
        <f>IF($A158="","",IF($C158="ESE (Ding Defend)",1,0)*'Material Costs'!$D$4)</f>
        <v/>
      </c>
      <c r="J158" s="9"/>
      <c r="K158" s="9" t="str">
        <f t="shared" si="18"/>
        <v/>
      </c>
      <c r="L158" s="9"/>
      <c r="M158" s="9"/>
      <c r="N158" s="9"/>
      <c r="O158" s="9" t="str">
        <f t="shared" si="19"/>
        <v/>
      </c>
      <c r="P158" s="9"/>
      <c r="Q158" s="9" t="str">
        <f>IF($A158="","",IF($O158="", "", ROUND($O158*Settings!$B$2+Settings!$B$3,2)))</f>
        <v/>
      </c>
      <c r="R158" s="9" t="str">
        <f>IF($A158="","",IF($L158="", "", Settings!$B$4))</f>
        <v/>
      </c>
      <c r="S158" s="9" t="str">
        <f t="shared" si="20"/>
        <v/>
      </c>
      <c r="T158" s="9" t="str">
        <f t="shared" si="21"/>
        <v/>
      </c>
      <c r="U158" s="9" t="str">
        <f>IF($A158="","",IF($K158="", "", ROUND((($K158 + Settings!$B$3 + $R158) - IF($M158="",0,$M158))/(1-Settings!$B$2),2)))</f>
        <v/>
      </c>
      <c r="V158" s="9" t="str">
        <f>IF($A158="","",$L158-($L158*Settings!$B$2)-$J158-($B158+SUM($D158:$I158)))</f>
        <v/>
      </c>
      <c r="W158" s="9" t="str">
        <f>IF($A158="","",(($B158+SUM($D158:$I158)+$J158+Settings!$B$3)/(1-Settings!$B$2))-$M158)</f>
        <v/>
      </c>
      <c r="X158" s="10" t="str">
        <f t="shared" si="22"/>
        <v/>
      </c>
      <c r="Y158" s="10" t="str">
        <f t="shared" si="23"/>
        <v/>
      </c>
      <c r="Z158" s="10" t="str">
        <f t="shared" si="24"/>
        <v/>
      </c>
      <c r="AA158" s="10" t="str">
        <f t="shared" si="25"/>
        <v/>
      </c>
      <c r="AC158" s="11"/>
      <c r="AD158" s="11"/>
      <c r="AE158" s="12" t="str">
        <f t="shared" si="26"/>
        <v/>
      </c>
    </row>
    <row r="159" spans="2:31" x14ac:dyDescent="0.25">
      <c r="B159" s="9"/>
      <c r="C159" t="s">
        <v>31</v>
      </c>
      <c r="D159" s="9" t="str">
        <f>IF($A159="","",1*'Material Costs'!$D$3)</f>
        <v/>
      </c>
      <c r="E159" s="9" t="str">
        <f>IF($A159="","",1*'Material Costs'!$D$2)</f>
        <v/>
      </c>
      <c r="F159" s="9" t="str">
        <f>IF($A159="","",IF($C159="Bubble Mailer",2,1)*'Material Costs'!$D$6)</f>
        <v/>
      </c>
      <c r="G159" s="9" t="str">
        <f>IF($A159="","",1*'Material Costs'!$D$7)</f>
        <v/>
      </c>
      <c r="H159" s="9" t="str">
        <f>IF($A159="","",IF($C159="Bubble Mailer",1,0)*'Material Costs'!$D$5)</f>
        <v/>
      </c>
      <c r="I159" s="9" t="str">
        <f>IF($A159="","",IF($C159="ESE (Ding Defend)",1,0)*'Material Costs'!$D$4)</f>
        <v/>
      </c>
      <c r="J159" s="9"/>
      <c r="K159" s="9" t="str">
        <f t="shared" si="18"/>
        <v/>
      </c>
      <c r="L159" s="9"/>
      <c r="M159" s="9"/>
      <c r="N159" s="9"/>
      <c r="O159" s="9" t="str">
        <f t="shared" si="19"/>
        <v/>
      </c>
      <c r="P159" s="9"/>
      <c r="Q159" s="9" t="str">
        <f>IF($A159="","",IF($O159="", "", ROUND($O159*Settings!$B$2+Settings!$B$3,2)))</f>
        <v/>
      </c>
      <c r="R159" s="9" t="str">
        <f>IF($A159="","",IF($L159="", "", Settings!$B$4))</f>
        <v/>
      </c>
      <c r="S159" s="9" t="str">
        <f t="shared" si="20"/>
        <v/>
      </c>
      <c r="T159" s="9" t="str">
        <f t="shared" si="21"/>
        <v/>
      </c>
      <c r="U159" s="9" t="str">
        <f>IF($A159="","",IF($K159="", "", ROUND((($K159 + Settings!$B$3 + $R159) - IF($M159="",0,$M159))/(1-Settings!$B$2),2)))</f>
        <v/>
      </c>
      <c r="V159" s="9" t="str">
        <f>IF($A159="","",$L159-($L159*Settings!$B$2)-$J159-($B159+SUM($D159:$I159)))</f>
        <v/>
      </c>
      <c r="W159" s="9" t="str">
        <f>IF($A159="","",(($B159+SUM($D159:$I159)+$J159+Settings!$B$3)/(1-Settings!$B$2))-$M159)</f>
        <v/>
      </c>
      <c r="X159" s="10" t="str">
        <f t="shared" si="22"/>
        <v/>
      </c>
      <c r="Y159" s="10" t="str">
        <f t="shared" si="23"/>
        <v/>
      </c>
      <c r="Z159" s="10" t="str">
        <f t="shared" si="24"/>
        <v/>
      </c>
      <c r="AA159" s="10" t="str">
        <f t="shared" si="25"/>
        <v/>
      </c>
      <c r="AC159" s="11"/>
      <c r="AD159" s="11"/>
      <c r="AE159" s="12" t="str">
        <f t="shared" si="26"/>
        <v/>
      </c>
    </row>
    <row r="160" spans="2:31" x14ac:dyDescent="0.25">
      <c r="B160" s="9"/>
      <c r="C160" t="s">
        <v>31</v>
      </c>
      <c r="D160" s="9" t="str">
        <f>IF($A160="","",1*'Material Costs'!$D$3)</f>
        <v/>
      </c>
      <c r="E160" s="9" t="str">
        <f>IF($A160="","",1*'Material Costs'!$D$2)</f>
        <v/>
      </c>
      <c r="F160" s="9" t="str">
        <f>IF($A160="","",IF($C160="Bubble Mailer",2,1)*'Material Costs'!$D$6)</f>
        <v/>
      </c>
      <c r="G160" s="9" t="str">
        <f>IF($A160="","",1*'Material Costs'!$D$7)</f>
        <v/>
      </c>
      <c r="H160" s="9" t="str">
        <f>IF($A160="","",IF($C160="Bubble Mailer",1,0)*'Material Costs'!$D$5)</f>
        <v/>
      </c>
      <c r="I160" s="9" t="str">
        <f>IF($A160="","",IF($C160="ESE (Ding Defend)",1,0)*'Material Costs'!$D$4)</f>
        <v/>
      </c>
      <c r="J160" s="9"/>
      <c r="K160" s="9" t="str">
        <f t="shared" si="18"/>
        <v/>
      </c>
      <c r="L160" s="9"/>
      <c r="M160" s="9"/>
      <c r="N160" s="9"/>
      <c r="O160" s="9" t="str">
        <f t="shared" si="19"/>
        <v/>
      </c>
      <c r="P160" s="9"/>
      <c r="Q160" s="9" t="str">
        <f>IF($A160="","",IF($O160="", "", ROUND($O160*Settings!$B$2+Settings!$B$3,2)))</f>
        <v/>
      </c>
      <c r="R160" s="9" t="str">
        <f>IF($A160="","",IF($L160="", "", Settings!$B$4))</f>
        <v/>
      </c>
      <c r="S160" s="9" t="str">
        <f t="shared" si="20"/>
        <v/>
      </c>
      <c r="T160" s="9" t="str">
        <f t="shared" si="21"/>
        <v/>
      </c>
      <c r="U160" s="9" t="str">
        <f>IF($A160="","",IF($K160="", "", ROUND((($K160 + Settings!$B$3 + $R160) - IF($M160="",0,$M160))/(1-Settings!$B$2),2)))</f>
        <v/>
      </c>
      <c r="V160" s="9" t="str">
        <f>IF($A160="","",$L160-($L160*Settings!$B$2)-$J160-($B160+SUM($D160:$I160)))</f>
        <v/>
      </c>
      <c r="W160" s="9" t="str">
        <f>IF($A160="","",(($B160+SUM($D160:$I160)+$J160+Settings!$B$3)/(1-Settings!$B$2))-$M160)</f>
        <v/>
      </c>
      <c r="X160" s="10" t="str">
        <f t="shared" si="22"/>
        <v/>
      </c>
      <c r="Y160" s="10" t="str">
        <f t="shared" si="23"/>
        <v/>
      </c>
      <c r="Z160" s="10" t="str">
        <f t="shared" si="24"/>
        <v/>
      </c>
      <c r="AA160" s="10" t="str">
        <f t="shared" si="25"/>
        <v/>
      </c>
      <c r="AC160" s="11"/>
      <c r="AD160" s="11"/>
      <c r="AE160" s="12" t="str">
        <f t="shared" si="26"/>
        <v/>
      </c>
    </row>
    <row r="161" spans="2:31" x14ac:dyDescent="0.25">
      <c r="B161" s="9"/>
      <c r="C161" t="s">
        <v>31</v>
      </c>
      <c r="D161" s="9" t="str">
        <f>IF($A161="","",1*'Material Costs'!$D$3)</f>
        <v/>
      </c>
      <c r="E161" s="9" t="str">
        <f>IF($A161="","",1*'Material Costs'!$D$2)</f>
        <v/>
      </c>
      <c r="F161" s="9" t="str">
        <f>IF($A161="","",IF($C161="Bubble Mailer",2,1)*'Material Costs'!$D$6)</f>
        <v/>
      </c>
      <c r="G161" s="9" t="str">
        <f>IF($A161="","",1*'Material Costs'!$D$7)</f>
        <v/>
      </c>
      <c r="H161" s="9" t="str">
        <f>IF($A161="","",IF($C161="Bubble Mailer",1,0)*'Material Costs'!$D$5)</f>
        <v/>
      </c>
      <c r="I161" s="9" t="str">
        <f>IF($A161="","",IF($C161="ESE (Ding Defend)",1,0)*'Material Costs'!$D$4)</f>
        <v/>
      </c>
      <c r="J161" s="9"/>
      <c r="K161" s="9" t="str">
        <f t="shared" si="18"/>
        <v/>
      </c>
      <c r="L161" s="9"/>
      <c r="M161" s="9"/>
      <c r="N161" s="9"/>
      <c r="O161" s="9" t="str">
        <f t="shared" si="19"/>
        <v/>
      </c>
      <c r="P161" s="9"/>
      <c r="Q161" s="9" t="str">
        <f>IF($A161="","",IF($O161="", "", ROUND($O161*Settings!$B$2+Settings!$B$3,2)))</f>
        <v/>
      </c>
      <c r="R161" s="9" t="str">
        <f>IF($A161="","",IF($L161="", "", Settings!$B$4))</f>
        <v/>
      </c>
      <c r="S161" s="9" t="str">
        <f t="shared" si="20"/>
        <v/>
      </c>
      <c r="T161" s="9" t="str">
        <f t="shared" si="21"/>
        <v/>
      </c>
      <c r="U161" s="9" t="str">
        <f>IF($A161="","",IF($K161="", "", ROUND((($K161 + Settings!$B$3 + $R161) - IF($M161="",0,$M161))/(1-Settings!$B$2),2)))</f>
        <v/>
      </c>
      <c r="V161" s="9" t="str">
        <f>IF($A161="","",$L161-($L161*Settings!$B$2)-$J161-($B161+SUM($D161:$I161)))</f>
        <v/>
      </c>
      <c r="W161" s="9" t="str">
        <f>IF($A161="","",(($B161+SUM($D161:$I161)+$J161+Settings!$B$3)/(1-Settings!$B$2))-$M161)</f>
        <v/>
      </c>
      <c r="X161" s="10" t="str">
        <f t="shared" si="22"/>
        <v/>
      </c>
      <c r="Y161" s="10" t="str">
        <f t="shared" si="23"/>
        <v/>
      </c>
      <c r="Z161" s="10" t="str">
        <f t="shared" si="24"/>
        <v/>
      </c>
      <c r="AA161" s="10" t="str">
        <f t="shared" si="25"/>
        <v/>
      </c>
      <c r="AC161" s="11"/>
      <c r="AD161" s="11"/>
      <c r="AE161" s="12" t="str">
        <f t="shared" si="26"/>
        <v/>
      </c>
    </row>
    <row r="162" spans="2:31" x14ac:dyDescent="0.25">
      <c r="B162" s="9"/>
      <c r="C162" t="s">
        <v>31</v>
      </c>
      <c r="D162" s="9" t="str">
        <f>IF($A162="","",1*'Material Costs'!$D$3)</f>
        <v/>
      </c>
      <c r="E162" s="9" t="str">
        <f>IF($A162="","",1*'Material Costs'!$D$2)</f>
        <v/>
      </c>
      <c r="F162" s="9" t="str">
        <f>IF($A162="","",IF($C162="Bubble Mailer",2,1)*'Material Costs'!$D$6)</f>
        <v/>
      </c>
      <c r="G162" s="9" t="str">
        <f>IF($A162="","",1*'Material Costs'!$D$7)</f>
        <v/>
      </c>
      <c r="H162" s="9" t="str">
        <f>IF($A162="","",IF($C162="Bubble Mailer",1,0)*'Material Costs'!$D$5)</f>
        <v/>
      </c>
      <c r="I162" s="9" t="str">
        <f>IF($A162="","",IF($C162="ESE (Ding Defend)",1,0)*'Material Costs'!$D$4)</f>
        <v/>
      </c>
      <c r="J162" s="9"/>
      <c r="K162" s="9" t="str">
        <f t="shared" si="18"/>
        <v/>
      </c>
      <c r="L162" s="9"/>
      <c r="M162" s="9"/>
      <c r="N162" s="9"/>
      <c r="O162" s="9" t="str">
        <f t="shared" si="19"/>
        <v/>
      </c>
      <c r="P162" s="9"/>
      <c r="Q162" s="9" t="str">
        <f>IF($A162="","",IF($O162="", "", ROUND($O162*Settings!$B$2+Settings!$B$3,2)))</f>
        <v/>
      </c>
      <c r="R162" s="9" t="str">
        <f>IF($A162="","",IF($L162="", "", Settings!$B$4))</f>
        <v/>
      </c>
      <c r="S162" s="9" t="str">
        <f t="shared" si="20"/>
        <v/>
      </c>
      <c r="T162" s="9" t="str">
        <f t="shared" si="21"/>
        <v/>
      </c>
      <c r="U162" s="9" t="str">
        <f>IF($A162="","",IF($K162="", "", ROUND((($K162 + Settings!$B$3 + $R162) - IF($M162="",0,$M162))/(1-Settings!$B$2),2)))</f>
        <v/>
      </c>
      <c r="V162" s="9" t="str">
        <f>IF($A162="","",$L162-($L162*Settings!$B$2)-$J162-($B162+SUM($D162:$I162)))</f>
        <v/>
      </c>
      <c r="W162" s="9" t="str">
        <f>IF($A162="","",(($B162+SUM($D162:$I162)+$J162+Settings!$B$3)/(1-Settings!$B$2))-$M162)</f>
        <v/>
      </c>
      <c r="X162" s="10" t="str">
        <f t="shared" si="22"/>
        <v/>
      </c>
      <c r="Y162" s="10" t="str">
        <f t="shared" si="23"/>
        <v/>
      </c>
      <c r="Z162" s="10" t="str">
        <f t="shared" si="24"/>
        <v/>
      </c>
      <c r="AA162" s="10" t="str">
        <f t="shared" si="25"/>
        <v/>
      </c>
      <c r="AC162" s="11"/>
      <c r="AD162" s="11"/>
      <c r="AE162" s="12" t="str">
        <f t="shared" si="26"/>
        <v/>
      </c>
    </row>
    <row r="163" spans="2:31" x14ac:dyDescent="0.25">
      <c r="B163" s="9"/>
      <c r="C163" t="s">
        <v>31</v>
      </c>
      <c r="D163" s="9" t="str">
        <f>IF($A163="","",1*'Material Costs'!$D$3)</f>
        <v/>
      </c>
      <c r="E163" s="9" t="str">
        <f>IF($A163="","",1*'Material Costs'!$D$2)</f>
        <v/>
      </c>
      <c r="F163" s="9" t="str">
        <f>IF($A163="","",IF($C163="Bubble Mailer",2,1)*'Material Costs'!$D$6)</f>
        <v/>
      </c>
      <c r="G163" s="9" t="str">
        <f>IF($A163="","",1*'Material Costs'!$D$7)</f>
        <v/>
      </c>
      <c r="H163" s="9" t="str">
        <f>IF($A163="","",IF($C163="Bubble Mailer",1,0)*'Material Costs'!$D$5)</f>
        <v/>
      </c>
      <c r="I163" s="9" t="str">
        <f>IF($A163="","",IF($C163="ESE (Ding Defend)",1,0)*'Material Costs'!$D$4)</f>
        <v/>
      </c>
      <c r="J163" s="9"/>
      <c r="K163" s="9" t="str">
        <f t="shared" si="18"/>
        <v/>
      </c>
      <c r="L163" s="9"/>
      <c r="M163" s="9"/>
      <c r="N163" s="9"/>
      <c r="O163" s="9" t="str">
        <f t="shared" si="19"/>
        <v/>
      </c>
      <c r="P163" s="9"/>
      <c r="Q163" s="9" t="str">
        <f>IF($A163="","",IF($O163="", "", ROUND($O163*Settings!$B$2+Settings!$B$3,2)))</f>
        <v/>
      </c>
      <c r="R163" s="9" t="str">
        <f>IF($A163="","",IF($L163="", "", Settings!$B$4))</f>
        <v/>
      </c>
      <c r="S163" s="9" t="str">
        <f t="shared" si="20"/>
        <v/>
      </c>
      <c r="T163" s="9" t="str">
        <f t="shared" si="21"/>
        <v/>
      </c>
      <c r="U163" s="9" t="str">
        <f>IF($A163="","",IF($K163="", "", ROUND((($K163 + Settings!$B$3 + $R163) - IF($M163="",0,$M163))/(1-Settings!$B$2),2)))</f>
        <v/>
      </c>
      <c r="V163" s="9" t="str">
        <f>IF($A163="","",$L163-($L163*Settings!$B$2)-$J163-($B163+SUM($D163:$I163)))</f>
        <v/>
      </c>
      <c r="W163" s="9" t="str">
        <f>IF($A163="","",(($B163+SUM($D163:$I163)+$J163+Settings!$B$3)/(1-Settings!$B$2))-$M163)</f>
        <v/>
      </c>
      <c r="X163" s="10" t="str">
        <f t="shared" si="22"/>
        <v/>
      </c>
      <c r="Y163" s="10" t="str">
        <f t="shared" si="23"/>
        <v/>
      </c>
      <c r="Z163" s="10" t="str">
        <f t="shared" si="24"/>
        <v/>
      </c>
      <c r="AA163" s="10" t="str">
        <f t="shared" si="25"/>
        <v/>
      </c>
      <c r="AC163" s="11"/>
      <c r="AD163" s="11"/>
      <c r="AE163" s="12" t="str">
        <f t="shared" si="26"/>
        <v/>
      </c>
    </row>
    <row r="164" spans="2:31" x14ac:dyDescent="0.25">
      <c r="B164" s="9"/>
      <c r="C164" t="s">
        <v>31</v>
      </c>
      <c r="D164" s="9" t="str">
        <f>IF($A164="","",1*'Material Costs'!$D$3)</f>
        <v/>
      </c>
      <c r="E164" s="9" t="str">
        <f>IF($A164="","",1*'Material Costs'!$D$2)</f>
        <v/>
      </c>
      <c r="F164" s="9" t="str">
        <f>IF($A164="","",IF($C164="Bubble Mailer",2,1)*'Material Costs'!$D$6)</f>
        <v/>
      </c>
      <c r="G164" s="9" t="str">
        <f>IF($A164="","",1*'Material Costs'!$D$7)</f>
        <v/>
      </c>
      <c r="H164" s="9" t="str">
        <f>IF($A164="","",IF($C164="Bubble Mailer",1,0)*'Material Costs'!$D$5)</f>
        <v/>
      </c>
      <c r="I164" s="9" t="str">
        <f>IF($A164="","",IF($C164="ESE (Ding Defend)",1,0)*'Material Costs'!$D$4)</f>
        <v/>
      </c>
      <c r="J164" s="9"/>
      <c r="K164" s="9" t="str">
        <f t="shared" si="18"/>
        <v/>
      </c>
      <c r="L164" s="9"/>
      <c r="M164" s="9"/>
      <c r="N164" s="9"/>
      <c r="O164" s="9" t="str">
        <f t="shared" si="19"/>
        <v/>
      </c>
      <c r="P164" s="9"/>
      <c r="Q164" s="9" t="str">
        <f>IF($A164="","",IF($O164="", "", ROUND($O164*Settings!$B$2+Settings!$B$3,2)))</f>
        <v/>
      </c>
      <c r="R164" s="9" t="str">
        <f>IF($A164="","",IF($L164="", "", Settings!$B$4))</f>
        <v/>
      </c>
      <c r="S164" s="9" t="str">
        <f t="shared" si="20"/>
        <v/>
      </c>
      <c r="T164" s="9" t="str">
        <f t="shared" si="21"/>
        <v/>
      </c>
      <c r="U164" s="9" t="str">
        <f>IF($A164="","",IF($K164="", "", ROUND((($K164 + Settings!$B$3 + $R164) - IF($M164="",0,$M164))/(1-Settings!$B$2),2)))</f>
        <v/>
      </c>
      <c r="V164" s="9" t="str">
        <f>IF($A164="","",$L164-($L164*Settings!$B$2)-$J164-($B164+SUM($D164:$I164)))</f>
        <v/>
      </c>
      <c r="W164" s="9" t="str">
        <f>IF($A164="","",(($B164+SUM($D164:$I164)+$J164+Settings!$B$3)/(1-Settings!$B$2))-$M164)</f>
        <v/>
      </c>
      <c r="X164" s="10" t="str">
        <f t="shared" si="22"/>
        <v/>
      </c>
      <c r="Y164" s="10" t="str">
        <f t="shared" si="23"/>
        <v/>
      </c>
      <c r="Z164" s="10" t="str">
        <f t="shared" si="24"/>
        <v/>
      </c>
      <c r="AA164" s="10" t="str">
        <f t="shared" si="25"/>
        <v/>
      </c>
      <c r="AC164" s="11"/>
      <c r="AD164" s="11"/>
      <c r="AE164" s="12" t="str">
        <f t="shared" si="26"/>
        <v/>
      </c>
    </row>
    <row r="165" spans="2:31" x14ac:dyDescent="0.25">
      <c r="B165" s="9"/>
      <c r="C165" t="s">
        <v>31</v>
      </c>
      <c r="D165" s="9" t="str">
        <f>IF($A165="","",1*'Material Costs'!$D$3)</f>
        <v/>
      </c>
      <c r="E165" s="9" t="str">
        <f>IF($A165="","",1*'Material Costs'!$D$2)</f>
        <v/>
      </c>
      <c r="F165" s="9" t="str">
        <f>IF($A165="","",IF($C165="Bubble Mailer",2,1)*'Material Costs'!$D$6)</f>
        <v/>
      </c>
      <c r="G165" s="9" t="str">
        <f>IF($A165="","",1*'Material Costs'!$D$7)</f>
        <v/>
      </c>
      <c r="H165" s="9" t="str">
        <f>IF($A165="","",IF($C165="Bubble Mailer",1,0)*'Material Costs'!$D$5)</f>
        <v/>
      </c>
      <c r="I165" s="9" t="str">
        <f>IF($A165="","",IF($C165="ESE (Ding Defend)",1,0)*'Material Costs'!$D$4)</f>
        <v/>
      </c>
      <c r="J165" s="9"/>
      <c r="K165" s="9" t="str">
        <f t="shared" si="18"/>
        <v/>
      </c>
      <c r="L165" s="9"/>
      <c r="M165" s="9"/>
      <c r="N165" s="9"/>
      <c r="O165" s="9" t="str">
        <f t="shared" si="19"/>
        <v/>
      </c>
      <c r="P165" s="9"/>
      <c r="Q165" s="9" t="str">
        <f>IF($A165="","",IF($O165="", "", ROUND($O165*Settings!$B$2+Settings!$B$3,2)))</f>
        <v/>
      </c>
      <c r="R165" s="9" t="str">
        <f>IF($A165="","",IF($L165="", "", Settings!$B$4))</f>
        <v/>
      </c>
      <c r="S165" s="9" t="str">
        <f t="shared" si="20"/>
        <v/>
      </c>
      <c r="T165" s="9" t="str">
        <f t="shared" si="21"/>
        <v/>
      </c>
      <c r="U165" s="9" t="str">
        <f>IF($A165="","",IF($K165="", "", ROUND((($K165 + Settings!$B$3 + $R165) - IF($M165="",0,$M165))/(1-Settings!$B$2),2)))</f>
        <v/>
      </c>
      <c r="V165" s="9" t="str">
        <f>IF($A165="","",$L165-($L165*Settings!$B$2)-$J165-($B165+SUM($D165:$I165)))</f>
        <v/>
      </c>
      <c r="W165" s="9" t="str">
        <f>IF($A165="","",(($B165+SUM($D165:$I165)+$J165+Settings!$B$3)/(1-Settings!$B$2))-$M165)</f>
        <v/>
      </c>
      <c r="X165" s="10" t="str">
        <f t="shared" si="22"/>
        <v/>
      </c>
      <c r="Y165" s="10" t="str">
        <f t="shared" si="23"/>
        <v/>
      </c>
      <c r="Z165" s="10" t="str">
        <f t="shared" si="24"/>
        <v/>
      </c>
      <c r="AA165" s="10" t="str">
        <f t="shared" si="25"/>
        <v/>
      </c>
      <c r="AC165" s="11"/>
      <c r="AD165" s="11"/>
      <c r="AE165" s="12" t="str">
        <f t="shared" si="26"/>
        <v/>
      </c>
    </row>
    <row r="166" spans="2:31" x14ac:dyDescent="0.25">
      <c r="B166" s="9"/>
      <c r="C166" t="s">
        <v>31</v>
      </c>
      <c r="D166" s="9" t="str">
        <f>IF($A166="","",1*'Material Costs'!$D$3)</f>
        <v/>
      </c>
      <c r="E166" s="9" t="str">
        <f>IF($A166="","",1*'Material Costs'!$D$2)</f>
        <v/>
      </c>
      <c r="F166" s="9" t="str">
        <f>IF($A166="","",IF($C166="Bubble Mailer",2,1)*'Material Costs'!$D$6)</f>
        <v/>
      </c>
      <c r="G166" s="9" t="str">
        <f>IF($A166="","",1*'Material Costs'!$D$7)</f>
        <v/>
      </c>
      <c r="H166" s="9" t="str">
        <f>IF($A166="","",IF($C166="Bubble Mailer",1,0)*'Material Costs'!$D$5)</f>
        <v/>
      </c>
      <c r="I166" s="9" t="str">
        <f>IF($A166="","",IF($C166="ESE (Ding Defend)",1,0)*'Material Costs'!$D$4)</f>
        <v/>
      </c>
      <c r="J166" s="9"/>
      <c r="K166" s="9" t="str">
        <f t="shared" si="18"/>
        <v/>
      </c>
      <c r="L166" s="9"/>
      <c r="M166" s="9"/>
      <c r="N166" s="9"/>
      <c r="O166" s="9" t="str">
        <f t="shared" si="19"/>
        <v/>
      </c>
      <c r="P166" s="9"/>
      <c r="Q166" s="9" t="str">
        <f>IF($A166="","",IF($O166="", "", ROUND($O166*Settings!$B$2+Settings!$B$3,2)))</f>
        <v/>
      </c>
      <c r="R166" s="9" t="str">
        <f>IF($A166="","",IF($L166="", "", Settings!$B$4))</f>
        <v/>
      </c>
      <c r="S166" s="9" t="str">
        <f t="shared" si="20"/>
        <v/>
      </c>
      <c r="T166" s="9" t="str">
        <f t="shared" si="21"/>
        <v/>
      </c>
      <c r="U166" s="9" t="str">
        <f>IF($A166="","",IF($K166="", "", ROUND((($K166 + Settings!$B$3 + $R166) - IF($M166="",0,$M166))/(1-Settings!$B$2),2)))</f>
        <v/>
      </c>
      <c r="V166" s="9" t="str">
        <f>IF($A166="","",$L166-($L166*Settings!$B$2)-$J166-($B166+SUM($D166:$I166)))</f>
        <v/>
      </c>
      <c r="W166" s="9" t="str">
        <f>IF($A166="","",(($B166+SUM($D166:$I166)+$J166+Settings!$B$3)/(1-Settings!$B$2))-$M166)</f>
        <v/>
      </c>
      <c r="X166" s="10" t="str">
        <f t="shared" si="22"/>
        <v/>
      </c>
      <c r="Y166" s="10" t="str">
        <f t="shared" si="23"/>
        <v/>
      </c>
      <c r="Z166" s="10" t="str">
        <f t="shared" si="24"/>
        <v/>
      </c>
      <c r="AA166" s="10" t="str">
        <f t="shared" si="25"/>
        <v/>
      </c>
      <c r="AC166" s="11"/>
      <c r="AD166" s="11"/>
      <c r="AE166" s="12" t="str">
        <f t="shared" si="26"/>
        <v/>
      </c>
    </row>
    <row r="167" spans="2:31" x14ac:dyDescent="0.25">
      <c r="B167" s="9"/>
      <c r="C167" t="s">
        <v>31</v>
      </c>
      <c r="D167" s="9" t="str">
        <f>IF($A167="","",1*'Material Costs'!$D$3)</f>
        <v/>
      </c>
      <c r="E167" s="9" t="str">
        <f>IF($A167="","",1*'Material Costs'!$D$2)</f>
        <v/>
      </c>
      <c r="F167" s="9" t="str">
        <f>IF($A167="","",IF($C167="Bubble Mailer",2,1)*'Material Costs'!$D$6)</f>
        <v/>
      </c>
      <c r="G167" s="9" t="str">
        <f>IF($A167="","",1*'Material Costs'!$D$7)</f>
        <v/>
      </c>
      <c r="H167" s="9" t="str">
        <f>IF($A167="","",IF($C167="Bubble Mailer",1,0)*'Material Costs'!$D$5)</f>
        <v/>
      </c>
      <c r="I167" s="9" t="str">
        <f>IF($A167="","",IF($C167="ESE (Ding Defend)",1,0)*'Material Costs'!$D$4)</f>
        <v/>
      </c>
      <c r="J167" s="9"/>
      <c r="K167" s="9" t="str">
        <f t="shared" si="18"/>
        <v/>
      </c>
      <c r="L167" s="9"/>
      <c r="M167" s="9"/>
      <c r="N167" s="9"/>
      <c r="O167" s="9" t="str">
        <f t="shared" si="19"/>
        <v/>
      </c>
      <c r="P167" s="9"/>
      <c r="Q167" s="9" t="str">
        <f>IF($A167="","",IF($O167="", "", ROUND($O167*Settings!$B$2+Settings!$B$3,2)))</f>
        <v/>
      </c>
      <c r="R167" s="9" t="str">
        <f>IF($A167="","",IF($L167="", "", Settings!$B$4))</f>
        <v/>
      </c>
      <c r="S167" s="9" t="str">
        <f t="shared" si="20"/>
        <v/>
      </c>
      <c r="T167" s="9" t="str">
        <f t="shared" si="21"/>
        <v/>
      </c>
      <c r="U167" s="9" t="str">
        <f>IF($A167="","",IF($K167="", "", ROUND((($K167 + Settings!$B$3 + $R167) - IF($M167="",0,$M167))/(1-Settings!$B$2),2)))</f>
        <v/>
      </c>
      <c r="V167" s="9" t="str">
        <f>IF($A167="","",$L167-($L167*Settings!$B$2)-$J167-($B167+SUM($D167:$I167)))</f>
        <v/>
      </c>
      <c r="W167" s="9" t="str">
        <f>IF($A167="","",(($B167+SUM($D167:$I167)+$J167+Settings!$B$3)/(1-Settings!$B$2))-$M167)</f>
        <v/>
      </c>
      <c r="X167" s="10" t="str">
        <f t="shared" si="22"/>
        <v/>
      </c>
      <c r="Y167" s="10" t="str">
        <f t="shared" si="23"/>
        <v/>
      </c>
      <c r="Z167" s="10" t="str">
        <f t="shared" si="24"/>
        <v/>
      </c>
      <c r="AA167" s="10" t="str">
        <f t="shared" si="25"/>
        <v/>
      </c>
      <c r="AC167" s="11"/>
      <c r="AD167" s="11"/>
      <c r="AE167" s="12" t="str">
        <f t="shared" si="26"/>
        <v/>
      </c>
    </row>
    <row r="168" spans="2:31" x14ac:dyDescent="0.25">
      <c r="B168" s="9"/>
      <c r="C168" t="s">
        <v>31</v>
      </c>
      <c r="D168" s="9" t="str">
        <f>IF($A168="","",1*'Material Costs'!$D$3)</f>
        <v/>
      </c>
      <c r="E168" s="9" t="str">
        <f>IF($A168="","",1*'Material Costs'!$D$2)</f>
        <v/>
      </c>
      <c r="F168" s="9" t="str">
        <f>IF($A168="","",IF($C168="Bubble Mailer",2,1)*'Material Costs'!$D$6)</f>
        <v/>
      </c>
      <c r="G168" s="9" t="str">
        <f>IF($A168="","",1*'Material Costs'!$D$7)</f>
        <v/>
      </c>
      <c r="H168" s="9" t="str">
        <f>IF($A168="","",IF($C168="Bubble Mailer",1,0)*'Material Costs'!$D$5)</f>
        <v/>
      </c>
      <c r="I168" s="9" t="str">
        <f>IF($A168="","",IF($C168="ESE (Ding Defend)",1,0)*'Material Costs'!$D$4)</f>
        <v/>
      </c>
      <c r="J168" s="9"/>
      <c r="K168" s="9" t="str">
        <f t="shared" si="18"/>
        <v/>
      </c>
      <c r="L168" s="9"/>
      <c r="M168" s="9"/>
      <c r="N168" s="9"/>
      <c r="O168" s="9" t="str">
        <f t="shared" si="19"/>
        <v/>
      </c>
      <c r="P168" s="9"/>
      <c r="Q168" s="9" t="str">
        <f>IF($A168="","",IF($O168="", "", ROUND($O168*Settings!$B$2+Settings!$B$3,2)))</f>
        <v/>
      </c>
      <c r="R168" s="9" t="str">
        <f>IF($A168="","",IF($L168="", "", Settings!$B$4))</f>
        <v/>
      </c>
      <c r="S168" s="9" t="str">
        <f t="shared" si="20"/>
        <v/>
      </c>
      <c r="T168" s="9" t="str">
        <f t="shared" si="21"/>
        <v/>
      </c>
      <c r="U168" s="9" t="str">
        <f>IF($A168="","",IF($K168="", "", ROUND((($K168 + Settings!$B$3 + $R168) - IF($M168="",0,$M168))/(1-Settings!$B$2),2)))</f>
        <v/>
      </c>
      <c r="V168" s="9" t="str">
        <f>IF($A168="","",$L168-($L168*Settings!$B$2)-$J168-($B168+SUM($D168:$I168)))</f>
        <v/>
      </c>
      <c r="W168" s="9" t="str">
        <f>IF($A168="","",(($B168+SUM($D168:$I168)+$J168+Settings!$B$3)/(1-Settings!$B$2))-$M168)</f>
        <v/>
      </c>
      <c r="X168" s="10" t="str">
        <f t="shared" si="22"/>
        <v/>
      </c>
      <c r="Y168" s="10" t="str">
        <f t="shared" si="23"/>
        <v/>
      </c>
      <c r="Z168" s="10" t="str">
        <f t="shared" si="24"/>
        <v/>
      </c>
      <c r="AA168" s="10" t="str">
        <f t="shared" si="25"/>
        <v/>
      </c>
      <c r="AC168" s="11"/>
      <c r="AD168" s="11"/>
      <c r="AE168" s="12" t="str">
        <f t="shared" si="26"/>
        <v/>
      </c>
    </row>
    <row r="169" spans="2:31" x14ac:dyDescent="0.25">
      <c r="B169" s="9"/>
      <c r="C169" t="s">
        <v>31</v>
      </c>
      <c r="D169" s="9" t="str">
        <f>IF($A169="","",1*'Material Costs'!$D$3)</f>
        <v/>
      </c>
      <c r="E169" s="9" t="str">
        <f>IF($A169="","",1*'Material Costs'!$D$2)</f>
        <v/>
      </c>
      <c r="F169" s="9" t="str">
        <f>IF($A169="","",IF($C169="Bubble Mailer",2,1)*'Material Costs'!$D$6)</f>
        <v/>
      </c>
      <c r="G169" s="9" t="str">
        <f>IF($A169="","",1*'Material Costs'!$D$7)</f>
        <v/>
      </c>
      <c r="H169" s="9" t="str">
        <f>IF($A169="","",IF($C169="Bubble Mailer",1,0)*'Material Costs'!$D$5)</f>
        <v/>
      </c>
      <c r="I169" s="9" t="str">
        <f>IF($A169="","",IF($C169="ESE (Ding Defend)",1,0)*'Material Costs'!$D$4)</f>
        <v/>
      </c>
      <c r="J169" s="9"/>
      <c r="K169" s="9" t="str">
        <f t="shared" si="18"/>
        <v/>
      </c>
      <c r="L169" s="9"/>
      <c r="M169" s="9"/>
      <c r="N169" s="9"/>
      <c r="O169" s="9" t="str">
        <f t="shared" si="19"/>
        <v/>
      </c>
      <c r="P169" s="9"/>
      <c r="Q169" s="9" t="str">
        <f>IF($A169="","",IF($O169="", "", ROUND($O169*Settings!$B$2+Settings!$B$3,2)))</f>
        <v/>
      </c>
      <c r="R169" s="9" t="str">
        <f>IF($A169="","",IF($L169="", "", Settings!$B$4))</f>
        <v/>
      </c>
      <c r="S169" s="9" t="str">
        <f t="shared" si="20"/>
        <v/>
      </c>
      <c r="T169" s="9" t="str">
        <f t="shared" si="21"/>
        <v/>
      </c>
      <c r="U169" s="9" t="str">
        <f>IF($A169="","",IF($K169="", "", ROUND((($K169 + Settings!$B$3 + $R169) - IF($M169="",0,$M169))/(1-Settings!$B$2),2)))</f>
        <v/>
      </c>
      <c r="V169" s="9" t="str">
        <f>IF($A169="","",$L169-($L169*Settings!$B$2)-$J169-($B169+SUM($D169:$I169)))</f>
        <v/>
      </c>
      <c r="W169" s="9" t="str">
        <f>IF($A169="","",(($B169+SUM($D169:$I169)+$J169+Settings!$B$3)/(1-Settings!$B$2))-$M169)</f>
        <v/>
      </c>
      <c r="X169" s="10" t="str">
        <f t="shared" si="22"/>
        <v/>
      </c>
      <c r="Y169" s="10" t="str">
        <f t="shared" si="23"/>
        <v/>
      </c>
      <c r="Z169" s="10" t="str">
        <f t="shared" si="24"/>
        <v/>
      </c>
      <c r="AA169" s="10" t="str">
        <f t="shared" si="25"/>
        <v/>
      </c>
      <c r="AC169" s="11"/>
      <c r="AD169" s="11"/>
      <c r="AE169" s="12" t="str">
        <f t="shared" si="26"/>
        <v/>
      </c>
    </row>
    <row r="170" spans="2:31" x14ac:dyDescent="0.25">
      <c r="B170" s="9"/>
      <c r="C170" t="s">
        <v>31</v>
      </c>
      <c r="D170" s="9" t="str">
        <f>IF($A170="","",1*'Material Costs'!$D$3)</f>
        <v/>
      </c>
      <c r="E170" s="9" t="str">
        <f>IF($A170="","",1*'Material Costs'!$D$2)</f>
        <v/>
      </c>
      <c r="F170" s="9" t="str">
        <f>IF($A170="","",IF($C170="Bubble Mailer",2,1)*'Material Costs'!$D$6)</f>
        <v/>
      </c>
      <c r="G170" s="9" t="str">
        <f>IF($A170="","",1*'Material Costs'!$D$7)</f>
        <v/>
      </c>
      <c r="H170" s="9" t="str">
        <f>IF($A170="","",IF($C170="Bubble Mailer",1,0)*'Material Costs'!$D$5)</f>
        <v/>
      </c>
      <c r="I170" s="9" t="str">
        <f>IF($A170="","",IF($C170="ESE (Ding Defend)",1,0)*'Material Costs'!$D$4)</f>
        <v/>
      </c>
      <c r="J170" s="9"/>
      <c r="K170" s="9" t="str">
        <f t="shared" si="18"/>
        <v/>
      </c>
      <c r="L170" s="9"/>
      <c r="M170" s="9"/>
      <c r="N170" s="9"/>
      <c r="O170" s="9" t="str">
        <f t="shared" si="19"/>
        <v/>
      </c>
      <c r="P170" s="9"/>
      <c r="Q170" s="9" t="str">
        <f>IF($A170="","",IF($O170="", "", ROUND($O170*Settings!$B$2+Settings!$B$3,2)))</f>
        <v/>
      </c>
      <c r="R170" s="9" t="str">
        <f>IF($A170="","",IF($L170="", "", Settings!$B$4))</f>
        <v/>
      </c>
      <c r="S170" s="9" t="str">
        <f t="shared" si="20"/>
        <v/>
      </c>
      <c r="T170" s="9" t="str">
        <f t="shared" si="21"/>
        <v/>
      </c>
      <c r="U170" s="9" t="str">
        <f>IF($A170="","",IF($K170="", "", ROUND((($K170 + Settings!$B$3 + $R170) - IF($M170="",0,$M170))/(1-Settings!$B$2),2)))</f>
        <v/>
      </c>
      <c r="V170" s="9" t="str">
        <f>IF($A170="","",$L170-($L170*Settings!$B$2)-$J170-($B170+SUM($D170:$I170)))</f>
        <v/>
      </c>
      <c r="W170" s="9" t="str">
        <f>IF($A170="","",(($B170+SUM($D170:$I170)+$J170+Settings!$B$3)/(1-Settings!$B$2))-$M170)</f>
        <v/>
      </c>
      <c r="X170" s="10" t="str">
        <f t="shared" si="22"/>
        <v/>
      </c>
      <c r="Y170" s="10" t="str">
        <f t="shared" si="23"/>
        <v/>
      </c>
      <c r="Z170" s="10" t="str">
        <f t="shared" si="24"/>
        <v/>
      </c>
      <c r="AA170" s="10" t="str">
        <f t="shared" si="25"/>
        <v/>
      </c>
      <c r="AC170" s="11"/>
      <c r="AD170" s="11"/>
      <c r="AE170" s="12" t="str">
        <f t="shared" si="26"/>
        <v/>
      </c>
    </row>
    <row r="171" spans="2:31" x14ac:dyDescent="0.25">
      <c r="B171" s="9"/>
      <c r="C171" t="s">
        <v>31</v>
      </c>
      <c r="D171" s="9" t="str">
        <f>IF($A171="","",1*'Material Costs'!$D$3)</f>
        <v/>
      </c>
      <c r="E171" s="9" t="str">
        <f>IF($A171="","",1*'Material Costs'!$D$2)</f>
        <v/>
      </c>
      <c r="F171" s="9" t="str">
        <f>IF($A171="","",IF($C171="Bubble Mailer",2,1)*'Material Costs'!$D$6)</f>
        <v/>
      </c>
      <c r="G171" s="9" t="str">
        <f>IF($A171="","",1*'Material Costs'!$D$7)</f>
        <v/>
      </c>
      <c r="H171" s="9" t="str">
        <f>IF($A171="","",IF($C171="Bubble Mailer",1,0)*'Material Costs'!$D$5)</f>
        <v/>
      </c>
      <c r="I171" s="9" t="str">
        <f>IF($A171="","",IF($C171="ESE (Ding Defend)",1,0)*'Material Costs'!$D$4)</f>
        <v/>
      </c>
      <c r="J171" s="9"/>
      <c r="K171" s="9" t="str">
        <f t="shared" si="18"/>
        <v/>
      </c>
      <c r="L171" s="9"/>
      <c r="M171" s="9"/>
      <c r="N171" s="9"/>
      <c r="O171" s="9" t="str">
        <f t="shared" si="19"/>
        <v/>
      </c>
      <c r="P171" s="9"/>
      <c r="Q171" s="9" t="str">
        <f>IF($A171="","",IF($O171="", "", ROUND($O171*Settings!$B$2+Settings!$B$3,2)))</f>
        <v/>
      </c>
      <c r="R171" s="9" t="str">
        <f>IF($A171="","",IF($L171="", "", Settings!$B$4))</f>
        <v/>
      </c>
      <c r="S171" s="9" t="str">
        <f t="shared" si="20"/>
        <v/>
      </c>
      <c r="T171" s="9" t="str">
        <f t="shared" si="21"/>
        <v/>
      </c>
      <c r="U171" s="9" t="str">
        <f>IF($A171="","",IF($K171="", "", ROUND((($K171 + Settings!$B$3 + $R171) - IF($M171="",0,$M171))/(1-Settings!$B$2),2)))</f>
        <v/>
      </c>
      <c r="V171" s="9" t="str">
        <f>IF($A171="","",$L171-($L171*Settings!$B$2)-$J171-($B171+SUM($D171:$I171)))</f>
        <v/>
      </c>
      <c r="W171" s="9" t="str">
        <f>IF($A171="","",(($B171+SUM($D171:$I171)+$J171+Settings!$B$3)/(1-Settings!$B$2))-$M171)</f>
        <v/>
      </c>
      <c r="X171" s="10" t="str">
        <f t="shared" si="22"/>
        <v/>
      </c>
      <c r="Y171" s="10" t="str">
        <f t="shared" si="23"/>
        <v/>
      </c>
      <c r="Z171" s="10" t="str">
        <f t="shared" si="24"/>
        <v/>
      </c>
      <c r="AA171" s="10" t="str">
        <f t="shared" si="25"/>
        <v/>
      </c>
      <c r="AC171" s="11"/>
      <c r="AD171" s="11"/>
      <c r="AE171" s="12" t="str">
        <f t="shared" si="26"/>
        <v/>
      </c>
    </row>
    <row r="172" spans="2:31" x14ac:dyDescent="0.25">
      <c r="B172" s="9"/>
      <c r="C172" t="s">
        <v>31</v>
      </c>
      <c r="D172" s="9" t="str">
        <f>IF($A172="","",1*'Material Costs'!$D$3)</f>
        <v/>
      </c>
      <c r="E172" s="9" t="str">
        <f>IF($A172="","",1*'Material Costs'!$D$2)</f>
        <v/>
      </c>
      <c r="F172" s="9" t="str">
        <f>IF($A172="","",IF($C172="Bubble Mailer",2,1)*'Material Costs'!$D$6)</f>
        <v/>
      </c>
      <c r="G172" s="9" t="str">
        <f>IF($A172="","",1*'Material Costs'!$D$7)</f>
        <v/>
      </c>
      <c r="H172" s="9" t="str">
        <f>IF($A172="","",IF($C172="Bubble Mailer",1,0)*'Material Costs'!$D$5)</f>
        <v/>
      </c>
      <c r="I172" s="9" t="str">
        <f>IF($A172="","",IF($C172="ESE (Ding Defend)",1,0)*'Material Costs'!$D$4)</f>
        <v/>
      </c>
      <c r="J172" s="9"/>
      <c r="K172" s="9" t="str">
        <f t="shared" si="18"/>
        <v/>
      </c>
      <c r="L172" s="9"/>
      <c r="M172" s="9"/>
      <c r="N172" s="9"/>
      <c r="O172" s="9" t="str">
        <f t="shared" si="19"/>
        <v/>
      </c>
      <c r="P172" s="9"/>
      <c r="Q172" s="9" t="str">
        <f>IF($A172="","",IF($O172="", "", ROUND($O172*Settings!$B$2+Settings!$B$3,2)))</f>
        <v/>
      </c>
      <c r="R172" s="9" t="str">
        <f>IF($A172="","",IF($L172="", "", Settings!$B$4))</f>
        <v/>
      </c>
      <c r="S172" s="9" t="str">
        <f t="shared" si="20"/>
        <v/>
      </c>
      <c r="T172" s="9" t="str">
        <f t="shared" si="21"/>
        <v/>
      </c>
      <c r="U172" s="9" t="str">
        <f>IF($A172="","",IF($K172="", "", ROUND((($K172 + Settings!$B$3 + $R172) - IF($M172="",0,$M172))/(1-Settings!$B$2),2)))</f>
        <v/>
      </c>
      <c r="V172" s="9" t="str">
        <f>IF($A172="","",$L172-($L172*Settings!$B$2)-$J172-($B172+SUM($D172:$I172)))</f>
        <v/>
      </c>
      <c r="W172" s="9" t="str">
        <f>IF($A172="","",(($B172+SUM($D172:$I172)+$J172+Settings!$B$3)/(1-Settings!$B$2))-$M172)</f>
        <v/>
      </c>
      <c r="X172" s="10" t="str">
        <f t="shared" si="22"/>
        <v/>
      </c>
      <c r="Y172" s="10" t="str">
        <f t="shared" si="23"/>
        <v/>
      </c>
      <c r="Z172" s="10" t="str">
        <f t="shared" si="24"/>
        <v/>
      </c>
      <c r="AA172" s="10" t="str">
        <f t="shared" si="25"/>
        <v/>
      </c>
      <c r="AC172" s="11"/>
      <c r="AD172" s="11"/>
      <c r="AE172" s="12" t="str">
        <f t="shared" si="26"/>
        <v/>
      </c>
    </row>
    <row r="173" spans="2:31" x14ac:dyDescent="0.25">
      <c r="B173" s="9"/>
      <c r="C173" t="s">
        <v>31</v>
      </c>
      <c r="D173" s="9" t="str">
        <f>IF($A173="","",1*'Material Costs'!$D$3)</f>
        <v/>
      </c>
      <c r="E173" s="9" t="str">
        <f>IF($A173="","",1*'Material Costs'!$D$2)</f>
        <v/>
      </c>
      <c r="F173" s="9" t="str">
        <f>IF($A173="","",IF($C173="Bubble Mailer",2,1)*'Material Costs'!$D$6)</f>
        <v/>
      </c>
      <c r="G173" s="9" t="str">
        <f>IF($A173="","",1*'Material Costs'!$D$7)</f>
        <v/>
      </c>
      <c r="H173" s="9" t="str">
        <f>IF($A173="","",IF($C173="Bubble Mailer",1,0)*'Material Costs'!$D$5)</f>
        <v/>
      </c>
      <c r="I173" s="9" t="str">
        <f>IF($A173="","",IF($C173="ESE (Ding Defend)",1,0)*'Material Costs'!$D$4)</f>
        <v/>
      </c>
      <c r="J173" s="9"/>
      <c r="K173" s="9" t="str">
        <f t="shared" si="18"/>
        <v/>
      </c>
      <c r="L173" s="9"/>
      <c r="M173" s="9"/>
      <c r="N173" s="9"/>
      <c r="O173" s="9" t="str">
        <f t="shared" si="19"/>
        <v/>
      </c>
      <c r="P173" s="9"/>
      <c r="Q173" s="9" t="str">
        <f>IF($A173="","",IF($O173="", "", ROUND($O173*Settings!$B$2+Settings!$B$3,2)))</f>
        <v/>
      </c>
      <c r="R173" s="9" t="str">
        <f>IF($A173="","",IF($L173="", "", Settings!$B$4))</f>
        <v/>
      </c>
      <c r="S173" s="9" t="str">
        <f t="shared" si="20"/>
        <v/>
      </c>
      <c r="T173" s="9" t="str">
        <f t="shared" si="21"/>
        <v/>
      </c>
      <c r="U173" s="9" t="str">
        <f>IF($A173="","",IF($K173="", "", ROUND((($K173 + Settings!$B$3 + $R173) - IF($M173="",0,$M173))/(1-Settings!$B$2),2)))</f>
        <v/>
      </c>
      <c r="V173" s="9" t="str">
        <f>IF($A173="","",$L173-($L173*Settings!$B$2)-$J173-($B173+SUM($D173:$I173)))</f>
        <v/>
      </c>
      <c r="W173" s="9" t="str">
        <f>IF($A173="","",(($B173+SUM($D173:$I173)+$J173+Settings!$B$3)/(1-Settings!$B$2))-$M173)</f>
        <v/>
      </c>
      <c r="X173" s="10" t="str">
        <f t="shared" si="22"/>
        <v/>
      </c>
      <c r="Y173" s="10" t="str">
        <f t="shared" si="23"/>
        <v/>
      </c>
      <c r="Z173" s="10" t="str">
        <f t="shared" si="24"/>
        <v/>
      </c>
      <c r="AA173" s="10" t="str">
        <f t="shared" si="25"/>
        <v/>
      </c>
      <c r="AC173" s="11"/>
      <c r="AD173" s="11"/>
      <c r="AE173" s="12" t="str">
        <f t="shared" si="26"/>
        <v/>
      </c>
    </row>
    <row r="174" spans="2:31" x14ac:dyDescent="0.25">
      <c r="B174" s="9"/>
      <c r="C174" t="s">
        <v>31</v>
      </c>
      <c r="D174" s="9" t="str">
        <f>IF($A174="","",1*'Material Costs'!$D$3)</f>
        <v/>
      </c>
      <c r="E174" s="9" t="str">
        <f>IF($A174="","",1*'Material Costs'!$D$2)</f>
        <v/>
      </c>
      <c r="F174" s="9" t="str">
        <f>IF($A174="","",IF($C174="Bubble Mailer",2,1)*'Material Costs'!$D$6)</f>
        <v/>
      </c>
      <c r="G174" s="9" t="str">
        <f>IF($A174="","",1*'Material Costs'!$D$7)</f>
        <v/>
      </c>
      <c r="H174" s="9" t="str">
        <f>IF($A174="","",IF($C174="Bubble Mailer",1,0)*'Material Costs'!$D$5)</f>
        <v/>
      </c>
      <c r="I174" s="9" t="str">
        <f>IF($A174="","",IF($C174="ESE (Ding Defend)",1,0)*'Material Costs'!$D$4)</f>
        <v/>
      </c>
      <c r="J174" s="9"/>
      <c r="K174" s="9" t="str">
        <f t="shared" si="18"/>
        <v/>
      </c>
      <c r="L174" s="9"/>
      <c r="M174" s="9"/>
      <c r="N174" s="9"/>
      <c r="O174" s="9" t="str">
        <f t="shared" si="19"/>
        <v/>
      </c>
      <c r="P174" s="9"/>
      <c r="Q174" s="9" t="str">
        <f>IF($A174="","",IF($O174="", "", ROUND($O174*Settings!$B$2+Settings!$B$3,2)))</f>
        <v/>
      </c>
      <c r="R174" s="9" t="str">
        <f>IF($A174="","",IF($L174="", "", Settings!$B$4))</f>
        <v/>
      </c>
      <c r="S174" s="9" t="str">
        <f t="shared" si="20"/>
        <v/>
      </c>
      <c r="T174" s="9" t="str">
        <f t="shared" si="21"/>
        <v/>
      </c>
      <c r="U174" s="9" t="str">
        <f>IF($A174="","",IF($K174="", "", ROUND((($K174 + Settings!$B$3 + $R174) - IF($M174="",0,$M174))/(1-Settings!$B$2),2)))</f>
        <v/>
      </c>
      <c r="V174" s="9" t="str">
        <f>IF($A174="","",$L174-($L174*Settings!$B$2)-$J174-($B174+SUM($D174:$I174)))</f>
        <v/>
      </c>
      <c r="W174" s="9" t="str">
        <f>IF($A174="","",(($B174+SUM($D174:$I174)+$J174+Settings!$B$3)/(1-Settings!$B$2))-$M174)</f>
        <v/>
      </c>
      <c r="X174" s="10" t="str">
        <f t="shared" si="22"/>
        <v/>
      </c>
      <c r="Y174" s="10" t="str">
        <f t="shared" si="23"/>
        <v/>
      </c>
      <c r="Z174" s="10" t="str">
        <f t="shared" si="24"/>
        <v/>
      </c>
      <c r="AA174" s="10" t="str">
        <f t="shared" si="25"/>
        <v/>
      </c>
      <c r="AC174" s="11"/>
      <c r="AD174" s="11"/>
      <c r="AE174" s="12" t="str">
        <f t="shared" si="26"/>
        <v/>
      </c>
    </row>
    <row r="175" spans="2:31" x14ac:dyDescent="0.25">
      <c r="B175" s="9"/>
      <c r="C175" t="s">
        <v>31</v>
      </c>
      <c r="D175" s="9" t="str">
        <f>IF($A175="","",1*'Material Costs'!$D$3)</f>
        <v/>
      </c>
      <c r="E175" s="9" t="str">
        <f>IF($A175="","",1*'Material Costs'!$D$2)</f>
        <v/>
      </c>
      <c r="F175" s="9" t="str">
        <f>IF($A175="","",IF($C175="Bubble Mailer",2,1)*'Material Costs'!$D$6)</f>
        <v/>
      </c>
      <c r="G175" s="9" t="str">
        <f>IF($A175="","",1*'Material Costs'!$D$7)</f>
        <v/>
      </c>
      <c r="H175" s="9" t="str">
        <f>IF($A175="","",IF($C175="Bubble Mailer",1,0)*'Material Costs'!$D$5)</f>
        <v/>
      </c>
      <c r="I175" s="9" t="str">
        <f>IF($A175="","",IF($C175="ESE (Ding Defend)",1,0)*'Material Costs'!$D$4)</f>
        <v/>
      </c>
      <c r="J175" s="9"/>
      <c r="K175" s="9" t="str">
        <f t="shared" si="18"/>
        <v/>
      </c>
      <c r="L175" s="9"/>
      <c r="M175" s="9"/>
      <c r="N175" s="9"/>
      <c r="O175" s="9" t="str">
        <f t="shared" si="19"/>
        <v/>
      </c>
      <c r="P175" s="9"/>
      <c r="Q175" s="9" t="str">
        <f>IF($A175="","",IF($O175="", "", ROUND($O175*Settings!$B$2+Settings!$B$3,2)))</f>
        <v/>
      </c>
      <c r="R175" s="9" t="str">
        <f>IF($A175="","",IF($L175="", "", Settings!$B$4))</f>
        <v/>
      </c>
      <c r="S175" s="9" t="str">
        <f t="shared" si="20"/>
        <v/>
      </c>
      <c r="T175" s="9" t="str">
        <f t="shared" si="21"/>
        <v/>
      </c>
      <c r="U175" s="9" t="str">
        <f>IF($A175="","",IF($K175="", "", ROUND((($K175 + Settings!$B$3 + $R175) - IF($M175="",0,$M175))/(1-Settings!$B$2),2)))</f>
        <v/>
      </c>
      <c r="V175" s="9" t="str">
        <f>IF($A175="","",$L175-($L175*Settings!$B$2)-$J175-($B175+SUM($D175:$I175)))</f>
        <v/>
      </c>
      <c r="W175" s="9" t="str">
        <f>IF($A175="","",(($B175+SUM($D175:$I175)+$J175+Settings!$B$3)/(1-Settings!$B$2))-$M175)</f>
        <v/>
      </c>
      <c r="X175" s="10" t="str">
        <f t="shared" si="22"/>
        <v/>
      </c>
      <c r="Y175" s="10" t="str">
        <f t="shared" si="23"/>
        <v/>
      </c>
      <c r="Z175" s="10" t="str">
        <f t="shared" si="24"/>
        <v/>
      </c>
      <c r="AA175" s="10" t="str">
        <f t="shared" si="25"/>
        <v/>
      </c>
      <c r="AC175" s="11"/>
      <c r="AD175" s="11"/>
      <c r="AE175" s="12" t="str">
        <f t="shared" si="26"/>
        <v/>
      </c>
    </row>
    <row r="176" spans="2:31" x14ac:dyDescent="0.25">
      <c r="B176" s="9"/>
      <c r="C176" t="s">
        <v>31</v>
      </c>
      <c r="D176" s="9" t="str">
        <f>IF($A176="","",1*'Material Costs'!$D$3)</f>
        <v/>
      </c>
      <c r="E176" s="9" t="str">
        <f>IF($A176="","",1*'Material Costs'!$D$2)</f>
        <v/>
      </c>
      <c r="F176" s="9" t="str">
        <f>IF($A176="","",IF($C176="Bubble Mailer",2,1)*'Material Costs'!$D$6)</f>
        <v/>
      </c>
      <c r="G176" s="9" t="str">
        <f>IF($A176="","",1*'Material Costs'!$D$7)</f>
        <v/>
      </c>
      <c r="H176" s="9" t="str">
        <f>IF($A176="","",IF($C176="Bubble Mailer",1,0)*'Material Costs'!$D$5)</f>
        <v/>
      </c>
      <c r="I176" s="9" t="str">
        <f>IF($A176="","",IF($C176="ESE (Ding Defend)",1,0)*'Material Costs'!$D$4)</f>
        <v/>
      </c>
      <c r="J176" s="9"/>
      <c r="K176" s="9" t="str">
        <f t="shared" si="18"/>
        <v/>
      </c>
      <c r="L176" s="9"/>
      <c r="M176" s="9"/>
      <c r="N176" s="9"/>
      <c r="O176" s="9" t="str">
        <f t="shared" si="19"/>
        <v/>
      </c>
      <c r="P176" s="9"/>
      <c r="Q176" s="9" t="str">
        <f>IF($A176="","",IF($O176="", "", ROUND($O176*Settings!$B$2+Settings!$B$3,2)))</f>
        <v/>
      </c>
      <c r="R176" s="9" t="str">
        <f>IF($A176="","",IF($L176="", "", Settings!$B$4))</f>
        <v/>
      </c>
      <c r="S176" s="9" t="str">
        <f t="shared" si="20"/>
        <v/>
      </c>
      <c r="T176" s="9" t="str">
        <f t="shared" si="21"/>
        <v/>
      </c>
      <c r="U176" s="9" t="str">
        <f>IF($A176="","",IF($K176="", "", ROUND((($K176 + Settings!$B$3 + $R176) - IF($M176="",0,$M176))/(1-Settings!$B$2),2)))</f>
        <v/>
      </c>
      <c r="V176" s="9" t="str">
        <f>IF($A176="","",$L176-($L176*Settings!$B$2)-$J176-($B176+SUM($D176:$I176)))</f>
        <v/>
      </c>
      <c r="W176" s="9" t="str">
        <f>IF($A176="","",(($B176+SUM($D176:$I176)+$J176+Settings!$B$3)/(1-Settings!$B$2))-$M176)</f>
        <v/>
      </c>
      <c r="X176" s="10" t="str">
        <f t="shared" si="22"/>
        <v/>
      </c>
      <c r="Y176" s="10" t="str">
        <f t="shared" si="23"/>
        <v/>
      </c>
      <c r="Z176" s="10" t="str">
        <f t="shared" si="24"/>
        <v/>
      </c>
      <c r="AA176" s="10" t="str">
        <f t="shared" si="25"/>
        <v/>
      </c>
      <c r="AC176" s="11"/>
      <c r="AD176" s="11"/>
      <c r="AE176" s="12" t="str">
        <f t="shared" si="26"/>
        <v/>
      </c>
    </row>
    <row r="177" spans="2:31" x14ac:dyDescent="0.25">
      <c r="B177" s="9"/>
      <c r="C177" t="s">
        <v>31</v>
      </c>
      <c r="D177" s="9" t="str">
        <f>IF($A177="","",1*'Material Costs'!$D$3)</f>
        <v/>
      </c>
      <c r="E177" s="9" t="str">
        <f>IF($A177="","",1*'Material Costs'!$D$2)</f>
        <v/>
      </c>
      <c r="F177" s="9" t="str">
        <f>IF($A177="","",IF($C177="Bubble Mailer",2,1)*'Material Costs'!$D$6)</f>
        <v/>
      </c>
      <c r="G177" s="9" t="str">
        <f>IF($A177="","",1*'Material Costs'!$D$7)</f>
        <v/>
      </c>
      <c r="H177" s="9" t="str">
        <f>IF($A177="","",IF($C177="Bubble Mailer",1,0)*'Material Costs'!$D$5)</f>
        <v/>
      </c>
      <c r="I177" s="9" t="str">
        <f>IF($A177="","",IF($C177="ESE (Ding Defend)",1,0)*'Material Costs'!$D$4)</f>
        <v/>
      </c>
      <c r="J177" s="9"/>
      <c r="K177" s="9" t="str">
        <f t="shared" si="18"/>
        <v/>
      </c>
      <c r="L177" s="9"/>
      <c r="M177" s="9"/>
      <c r="N177" s="9"/>
      <c r="O177" s="9" t="str">
        <f t="shared" si="19"/>
        <v/>
      </c>
      <c r="P177" s="9"/>
      <c r="Q177" s="9" t="str">
        <f>IF($A177="","",IF($O177="", "", ROUND($O177*Settings!$B$2+Settings!$B$3,2)))</f>
        <v/>
      </c>
      <c r="R177" s="9" t="str">
        <f>IF($A177="","",IF($L177="", "", Settings!$B$4))</f>
        <v/>
      </c>
      <c r="S177" s="9" t="str">
        <f t="shared" si="20"/>
        <v/>
      </c>
      <c r="T177" s="9" t="str">
        <f t="shared" si="21"/>
        <v/>
      </c>
      <c r="U177" s="9" t="str">
        <f>IF($A177="","",IF($K177="", "", ROUND((($K177 + Settings!$B$3 + $R177) - IF($M177="",0,$M177))/(1-Settings!$B$2),2)))</f>
        <v/>
      </c>
      <c r="V177" s="9" t="str">
        <f>IF($A177="","",$L177-($L177*Settings!$B$2)-$J177-($B177+SUM($D177:$I177)))</f>
        <v/>
      </c>
      <c r="W177" s="9" t="str">
        <f>IF($A177="","",(($B177+SUM($D177:$I177)+$J177+Settings!$B$3)/(1-Settings!$B$2))-$M177)</f>
        <v/>
      </c>
      <c r="X177" s="10" t="str">
        <f t="shared" si="22"/>
        <v/>
      </c>
      <c r="Y177" s="10" t="str">
        <f t="shared" si="23"/>
        <v/>
      </c>
      <c r="Z177" s="10" t="str">
        <f t="shared" si="24"/>
        <v/>
      </c>
      <c r="AA177" s="10" t="str">
        <f t="shared" si="25"/>
        <v/>
      </c>
      <c r="AC177" s="11"/>
      <c r="AD177" s="11"/>
      <c r="AE177" s="12" t="str">
        <f t="shared" si="26"/>
        <v/>
      </c>
    </row>
    <row r="178" spans="2:31" x14ac:dyDescent="0.25">
      <c r="B178" s="9"/>
      <c r="C178" t="s">
        <v>31</v>
      </c>
      <c r="D178" s="9" t="str">
        <f>IF($A178="","",1*'Material Costs'!$D$3)</f>
        <v/>
      </c>
      <c r="E178" s="9" t="str">
        <f>IF($A178="","",1*'Material Costs'!$D$2)</f>
        <v/>
      </c>
      <c r="F178" s="9" t="str">
        <f>IF($A178="","",IF($C178="Bubble Mailer",2,1)*'Material Costs'!$D$6)</f>
        <v/>
      </c>
      <c r="G178" s="9" t="str">
        <f>IF($A178="","",1*'Material Costs'!$D$7)</f>
        <v/>
      </c>
      <c r="H178" s="9" t="str">
        <f>IF($A178="","",IF($C178="Bubble Mailer",1,0)*'Material Costs'!$D$5)</f>
        <v/>
      </c>
      <c r="I178" s="9" t="str">
        <f>IF($A178="","",IF($C178="ESE (Ding Defend)",1,0)*'Material Costs'!$D$4)</f>
        <v/>
      </c>
      <c r="J178" s="9"/>
      <c r="K178" s="9" t="str">
        <f t="shared" si="18"/>
        <v/>
      </c>
      <c r="L178" s="9"/>
      <c r="M178" s="9"/>
      <c r="N178" s="9"/>
      <c r="O178" s="9" t="str">
        <f t="shared" si="19"/>
        <v/>
      </c>
      <c r="P178" s="9"/>
      <c r="Q178" s="9" t="str">
        <f>IF($A178="","",IF($O178="", "", ROUND($O178*Settings!$B$2+Settings!$B$3,2)))</f>
        <v/>
      </c>
      <c r="R178" s="9" t="str">
        <f>IF($A178="","",IF($L178="", "", Settings!$B$4))</f>
        <v/>
      </c>
      <c r="S178" s="9" t="str">
        <f t="shared" si="20"/>
        <v/>
      </c>
      <c r="T178" s="9" t="str">
        <f t="shared" si="21"/>
        <v/>
      </c>
      <c r="U178" s="9" t="str">
        <f>IF($A178="","",IF($K178="", "", ROUND((($K178 + Settings!$B$3 + $R178) - IF($M178="",0,$M178))/(1-Settings!$B$2),2)))</f>
        <v/>
      </c>
      <c r="V178" s="9" t="str">
        <f>IF($A178="","",$L178-($L178*Settings!$B$2)-$J178-($B178+SUM($D178:$I178)))</f>
        <v/>
      </c>
      <c r="W178" s="9" t="str">
        <f>IF($A178="","",(($B178+SUM($D178:$I178)+$J178+Settings!$B$3)/(1-Settings!$B$2))-$M178)</f>
        <v/>
      </c>
      <c r="X178" s="10" t="str">
        <f t="shared" si="22"/>
        <v/>
      </c>
      <c r="Y178" s="10" t="str">
        <f t="shared" si="23"/>
        <v/>
      </c>
      <c r="Z178" s="10" t="str">
        <f t="shared" si="24"/>
        <v/>
      </c>
      <c r="AA178" s="10" t="str">
        <f t="shared" si="25"/>
        <v/>
      </c>
      <c r="AC178" s="11"/>
      <c r="AD178" s="11"/>
      <c r="AE178" s="12" t="str">
        <f t="shared" si="26"/>
        <v/>
      </c>
    </row>
    <row r="179" spans="2:31" x14ac:dyDescent="0.25">
      <c r="B179" s="9"/>
      <c r="C179" t="s">
        <v>31</v>
      </c>
      <c r="D179" s="9" t="str">
        <f>IF($A179="","",1*'Material Costs'!$D$3)</f>
        <v/>
      </c>
      <c r="E179" s="9" t="str">
        <f>IF($A179="","",1*'Material Costs'!$D$2)</f>
        <v/>
      </c>
      <c r="F179" s="9" t="str">
        <f>IF($A179="","",IF($C179="Bubble Mailer",2,1)*'Material Costs'!$D$6)</f>
        <v/>
      </c>
      <c r="G179" s="9" t="str">
        <f>IF($A179="","",1*'Material Costs'!$D$7)</f>
        <v/>
      </c>
      <c r="H179" s="9" t="str">
        <f>IF($A179="","",IF($C179="Bubble Mailer",1,0)*'Material Costs'!$D$5)</f>
        <v/>
      </c>
      <c r="I179" s="9" t="str">
        <f>IF($A179="","",IF($C179="ESE (Ding Defend)",1,0)*'Material Costs'!$D$4)</f>
        <v/>
      </c>
      <c r="J179" s="9"/>
      <c r="K179" s="9" t="str">
        <f t="shared" si="18"/>
        <v/>
      </c>
      <c r="L179" s="9"/>
      <c r="M179" s="9"/>
      <c r="N179" s="9"/>
      <c r="O179" s="9" t="str">
        <f t="shared" si="19"/>
        <v/>
      </c>
      <c r="P179" s="9"/>
      <c r="Q179" s="9" t="str">
        <f>IF($A179="","",IF($O179="", "", ROUND($O179*Settings!$B$2+Settings!$B$3,2)))</f>
        <v/>
      </c>
      <c r="R179" s="9" t="str">
        <f>IF($A179="","",IF($L179="", "", Settings!$B$4))</f>
        <v/>
      </c>
      <c r="S179" s="9" t="str">
        <f t="shared" si="20"/>
        <v/>
      </c>
      <c r="T179" s="9" t="str">
        <f t="shared" si="21"/>
        <v/>
      </c>
      <c r="U179" s="9" t="str">
        <f>IF($A179="","",IF($K179="", "", ROUND((($K179 + Settings!$B$3 + $R179) - IF($M179="",0,$M179))/(1-Settings!$B$2),2)))</f>
        <v/>
      </c>
      <c r="V179" s="9" t="str">
        <f>IF($A179="","",$L179-($L179*Settings!$B$2)-$J179-($B179+SUM($D179:$I179)))</f>
        <v/>
      </c>
      <c r="W179" s="9" t="str">
        <f>IF($A179="","",(($B179+SUM($D179:$I179)+$J179+Settings!$B$3)/(1-Settings!$B$2))-$M179)</f>
        <v/>
      </c>
      <c r="X179" s="10" t="str">
        <f t="shared" si="22"/>
        <v/>
      </c>
      <c r="Y179" s="10" t="str">
        <f t="shared" si="23"/>
        <v/>
      </c>
      <c r="Z179" s="10" t="str">
        <f t="shared" si="24"/>
        <v/>
      </c>
      <c r="AA179" s="10" t="str">
        <f t="shared" si="25"/>
        <v/>
      </c>
      <c r="AC179" s="11"/>
      <c r="AD179" s="11"/>
      <c r="AE179" s="12" t="str">
        <f t="shared" si="26"/>
        <v/>
      </c>
    </row>
    <row r="180" spans="2:31" x14ac:dyDescent="0.25">
      <c r="B180" s="9"/>
      <c r="C180" t="s">
        <v>31</v>
      </c>
      <c r="D180" s="9" t="str">
        <f>IF($A180="","",1*'Material Costs'!$D$3)</f>
        <v/>
      </c>
      <c r="E180" s="9" t="str">
        <f>IF($A180="","",1*'Material Costs'!$D$2)</f>
        <v/>
      </c>
      <c r="F180" s="9" t="str">
        <f>IF($A180="","",IF($C180="Bubble Mailer",2,1)*'Material Costs'!$D$6)</f>
        <v/>
      </c>
      <c r="G180" s="9" t="str">
        <f>IF($A180="","",1*'Material Costs'!$D$7)</f>
        <v/>
      </c>
      <c r="H180" s="9" t="str">
        <f>IF($A180="","",IF($C180="Bubble Mailer",1,0)*'Material Costs'!$D$5)</f>
        <v/>
      </c>
      <c r="I180" s="9" t="str">
        <f>IF($A180="","",IF($C180="ESE (Ding Defend)",1,0)*'Material Costs'!$D$4)</f>
        <v/>
      </c>
      <c r="J180" s="9"/>
      <c r="K180" s="9" t="str">
        <f t="shared" si="18"/>
        <v/>
      </c>
      <c r="L180" s="9"/>
      <c r="M180" s="9"/>
      <c r="N180" s="9"/>
      <c r="O180" s="9" t="str">
        <f t="shared" si="19"/>
        <v/>
      </c>
      <c r="P180" s="9"/>
      <c r="Q180" s="9" t="str">
        <f>IF($A180="","",IF($O180="", "", ROUND($O180*Settings!$B$2+Settings!$B$3,2)))</f>
        <v/>
      </c>
      <c r="R180" s="9" t="str">
        <f>IF($A180="","",IF($L180="", "", Settings!$B$4))</f>
        <v/>
      </c>
      <c r="S180" s="9" t="str">
        <f t="shared" si="20"/>
        <v/>
      </c>
      <c r="T180" s="9" t="str">
        <f t="shared" si="21"/>
        <v/>
      </c>
      <c r="U180" s="9" t="str">
        <f>IF($A180="","",IF($K180="", "", ROUND((($K180 + Settings!$B$3 + $R180) - IF($M180="",0,$M180))/(1-Settings!$B$2),2)))</f>
        <v/>
      </c>
      <c r="V180" s="9" t="str">
        <f>IF($A180="","",$L180-($L180*Settings!$B$2)-$J180-($B180+SUM($D180:$I180)))</f>
        <v/>
      </c>
      <c r="W180" s="9" t="str">
        <f>IF($A180="","",(($B180+SUM($D180:$I180)+$J180+Settings!$B$3)/(1-Settings!$B$2))-$M180)</f>
        <v/>
      </c>
      <c r="X180" s="10" t="str">
        <f t="shared" si="22"/>
        <v/>
      </c>
      <c r="Y180" s="10" t="str">
        <f t="shared" si="23"/>
        <v/>
      </c>
      <c r="Z180" s="10" t="str">
        <f t="shared" si="24"/>
        <v/>
      </c>
      <c r="AA180" s="10" t="str">
        <f t="shared" si="25"/>
        <v/>
      </c>
      <c r="AC180" s="11"/>
      <c r="AD180" s="11"/>
      <c r="AE180" s="12" t="str">
        <f t="shared" si="26"/>
        <v/>
      </c>
    </row>
    <row r="181" spans="2:31" x14ac:dyDescent="0.25">
      <c r="B181" s="9"/>
      <c r="C181" t="s">
        <v>31</v>
      </c>
      <c r="D181" s="9" t="str">
        <f>IF($A181="","",1*'Material Costs'!$D$3)</f>
        <v/>
      </c>
      <c r="E181" s="9" t="str">
        <f>IF($A181="","",1*'Material Costs'!$D$2)</f>
        <v/>
      </c>
      <c r="F181" s="9" t="str">
        <f>IF($A181="","",IF($C181="Bubble Mailer",2,1)*'Material Costs'!$D$6)</f>
        <v/>
      </c>
      <c r="G181" s="9" t="str">
        <f>IF($A181="","",1*'Material Costs'!$D$7)</f>
        <v/>
      </c>
      <c r="H181" s="9" t="str">
        <f>IF($A181="","",IF($C181="Bubble Mailer",1,0)*'Material Costs'!$D$5)</f>
        <v/>
      </c>
      <c r="I181" s="9" t="str">
        <f>IF($A181="","",IF($C181="ESE (Ding Defend)",1,0)*'Material Costs'!$D$4)</f>
        <v/>
      </c>
      <c r="J181" s="9"/>
      <c r="K181" s="9" t="str">
        <f t="shared" si="18"/>
        <v/>
      </c>
      <c r="L181" s="9"/>
      <c r="M181" s="9"/>
      <c r="N181" s="9"/>
      <c r="O181" s="9" t="str">
        <f t="shared" si="19"/>
        <v/>
      </c>
      <c r="P181" s="9"/>
      <c r="Q181" s="9" t="str">
        <f>IF($A181="","",IF($O181="", "", ROUND($O181*Settings!$B$2+Settings!$B$3,2)))</f>
        <v/>
      </c>
      <c r="R181" s="9" t="str">
        <f>IF($A181="","",IF($L181="", "", Settings!$B$4))</f>
        <v/>
      </c>
      <c r="S181" s="9" t="str">
        <f t="shared" si="20"/>
        <v/>
      </c>
      <c r="T181" s="9" t="str">
        <f t="shared" si="21"/>
        <v/>
      </c>
      <c r="U181" s="9" t="str">
        <f>IF($A181="","",IF($K181="", "", ROUND((($K181 + Settings!$B$3 + $R181) - IF($M181="",0,$M181))/(1-Settings!$B$2),2)))</f>
        <v/>
      </c>
      <c r="V181" s="9" t="str">
        <f>IF($A181="","",$L181-($L181*Settings!$B$2)-$J181-($B181+SUM($D181:$I181)))</f>
        <v/>
      </c>
      <c r="W181" s="9" t="str">
        <f>IF($A181="","",(($B181+SUM($D181:$I181)+$J181+Settings!$B$3)/(1-Settings!$B$2))-$M181)</f>
        <v/>
      </c>
      <c r="X181" s="10" t="str">
        <f t="shared" si="22"/>
        <v/>
      </c>
      <c r="Y181" s="10" t="str">
        <f t="shared" si="23"/>
        <v/>
      </c>
      <c r="Z181" s="10" t="str">
        <f t="shared" si="24"/>
        <v/>
      </c>
      <c r="AA181" s="10" t="str">
        <f t="shared" si="25"/>
        <v/>
      </c>
      <c r="AC181" s="11"/>
      <c r="AD181" s="11"/>
      <c r="AE181" s="12" t="str">
        <f t="shared" si="26"/>
        <v/>
      </c>
    </row>
    <row r="182" spans="2:31" x14ac:dyDescent="0.25">
      <c r="B182" s="9"/>
      <c r="C182" t="s">
        <v>31</v>
      </c>
      <c r="D182" s="9" t="str">
        <f>IF($A182="","",1*'Material Costs'!$D$3)</f>
        <v/>
      </c>
      <c r="E182" s="9" t="str">
        <f>IF($A182="","",1*'Material Costs'!$D$2)</f>
        <v/>
      </c>
      <c r="F182" s="9" t="str">
        <f>IF($A182="","",IF($C182="Bubble Mailer",2,1)*'Material Costs'!$D$6)</f>
        <v/>
      </c>
      <c r="G182" s="9" t="str">
        <f>IF($A182="","",1*'Material Costs'!$D$7)</f>
        <v/>
      </c>
      <c r="H182" s="9" t="str">
        <f>IF($A182="","",IF($C182="Bubble Mailer",1,0)*'Material Costs'!$D$5)</f>
        <v/>
      </c>
      <c r="I182" s="9" t="str">
        <f>IF($A182="","",IF($C182="ESE (Ding Defend)",1,0)*'Material Costs'!$D$4)</f>
        <v/>
      </c>
      <c r="J182" s="9"/>
      <c r="K182" s="9" t="str">
        <f t="shared" si="18"/>
        <v/>
      </c>
      <c r="L182" s="9"/>
      <c r="M182" s="9"/>
      <c r="N182" s="9"/>
      <c r="O182" s="9" t="str">
        <f t="shared" si="19"/>
        <v/>
      </c>
      <c r="P182" s="9"/>
      <c r="Q182" s="9" t="str">
        <f>IF($A182="","",IF($O182="", "", ROUND($O182*Settings!$B$2+Settings!$B$3,2)))</f>
        <v/>
      </c>
      <c r="R182" s="9" t="str">
        <f>IF($A182="","",IF($L182="", "", Settings!$B$4))</f>
        <v/>
      </c>
      <c r="S182" s="9" t="str">
        <f t="shared" si="20"/>
        <v/>
      </c>
      <c r="T182" s="9" t="str">
        <f t="shared" si="21"/>
        <v/>
      </c>
      <c r="U182" s="9" t="str">
        <f>IF($A182="","",IF($K182="", "", ROUND((($K182 + Settings!$B$3 + $R182) - IF($M182="",0,$M182))/(1-Settings!$B$2),2)))</f>
        <v/>
      </c>
      <c r="V182" s="9" t="str">
        <f>IF($A182="","",$L182-($L182*Settings!$B$2)-$J182-($B182+SUM($D182:$I182)))</f>
        <v/>
      </c>
      <c r="W182" s="9" t="str">
        <f>IF($A182="","",(($B182+SUM($D182:$I182)+$J182+Settings!$B$3)/(1-Settings!$B$2))-$M182)</f>
        <v/>
      </c>
      <c r="X182" s="10" t="str">
        <f t="shared" si="22"/>
        <v/>
      </c>
      <c r="Y182" s="10" t="str">
        <f t="shared" si="23"/>
        <v/>
      </c>
      <c r="Z182" s="10" t="str">
        <f t="shared" si="24"/>
        <v/>
      </c>
      <c r="AA182" s="10" t="str">
        <f t="shared" si="25"/>
        <v/>
      </c>
      <c r="AC182" s="11"/>
      <c r="AD182" s="11"/>
      <c r="AE182" s="12" t="str">
        <f t="shared" si="26"/>
        <v/>
      </c>
    </row>
    <row r="183" spans="2:31" x14ac:dyDescent="0.25">
      <c r="B183" s="9"/>
      <c r="C183" t="s">
        <v>31</v>
      </c>
      <c r="D183" s="9" t="str">
        <f>IF($A183="","",1*'Material Costs'!$D$3)</f>
        <v/>
      </c>
      <c r="E183" s="9" t="str">
        <f>IF($A183="","",1*'Material Costs'!$D$2)</f>
        <v/>
      </c>
      <c r="F183" s="9" t="str">
        <f>IF($A183="","",IF($C183="Bubble Mailer",2,1)*'Material Costs'!$D$6)</f>
        <v/>
      </c>
      <c r="G183" s="9" t="str">
        <f>IF($A183="","",1*'Material Costs'!$D$7)</f>
        <v/>
      </c>
      <c r="H183" s="9" t="str">
        <f>IF($A183="","",IF($C183="Bubble Mailer",1,0)*'Material Costs'!$D$5)</f>
        <v/>
      </c>
      <c r="I183" s="9" t="str">
        <f>IF($A183="","",IF($C183="ESE (Ding Defend)",1,0)*'Material Costs'!$D$4)</f>
        <v/>
      </c>
      <c r="J183" s="9"/>
      <c r="K183" s="9" t="str">
        <f t="shared" si="18"/>
        <v/>
      </c>
      <c r="L183" s="9"/>
      <c r="M183" s="9"/>
      <c r="N183" s="9"/>
      <c r="O183" s="9" t="str">
        <f t="shared" si="19"/>
        <v/>
      </c>
      <c r="P183" s="9"/>
      <c r="Q183" s="9" t="str">
        <f>IF($A183="","",IF($O183="", "", ROUND($O183*Settings!$B$2+Settings!$B$3,2)))</f>
        <v/>
      </c>
      <c r="R183" s="9" t="str">
        <f>IF($A183="","",IF($L183="", "", Settings!$B$4))</f>
        <v/>
      </c>
      <c r="S183" s="9" t="str">
        <f t="shared" si="20"/>
        <v/>
      </c>
      <c r="T183" s="9" t="str">
        <f t="shared" si="21"/>
        <v/>
      </c>
      <c r="U183" s="9" t="str">
        <f>IF($A183="","",IF($K183="", "", ROUND((($K183 + Settings!$B$3 + $R183) - IF($M183="",0,$M183))/(1-Settings!$B$2),2)))</f>
        <v/>
      </c>
      <c r="V183" s="9" t="str">
        <f>IF($A183="","",$L183-($L183*Settings!$B$2)-$J183-($B183+SUM($D183:$I183)))</f>
        <v/>
      </c>
      <c r="W183" s="9" t="str">
        <f>IF($A183="","",(($B183+SUM($D183:$I183)+$J183+Settings!$B$3)/(1-Settings!$B$2))-$M183)</f>
        <v/>
      </c>
      <c r="X183" s="10" t="str">
        <f t="shared" si="22"/>
        <v/>
      </c>
      <c r="Y183" s="10" t="str">
        <f t="shared" si="23"/>
        <v/>
      </c>
      <c r="Z183" s="10" t="str">
        <f t="shared" si="24"/>
        <v/>
      </c>
      <c r="AA183" s="10" t="str">
        <f t="shared" si="25"/>
        <v/>
      </c>
      <c r="AC183" s="11"/>
      <c r="AD183" s="11"/>
      <c r="AE183" s="12" t="str">
        <f t="shared" si="26"/>
        <v/>
      </c>
    </row>
    <row r="184" spans="2:31" x14ac:dyDescent="0.25">
      <c r="B184" s="9"/>
      <c r="C184" t="s">
        <v>31</v>
      </c>
      <c r="D184" s="9" t="str">
        <f>IF($A184="","",1*'Material Costs'!$D$3)</f>
        <v/>
      </c>
      <c r="E184" s="9" t="str">
        <f>IF($A184="","",1*'Material Costs'!$D$2)</f>
        <v/>
      </c>
      <c r="F184" s="9" t="str">
        <f>IF($A184="","",IF($C184="Bubble Mailer",2,1)*'Material Costs'!$D$6)</f>
        <v/>
      </c>
      <c r="G184" s="9" t="str">
        <f>IF($A184="","",1*'Material Costs'!$D$7)</f>
        <v/>
      </c>
      <c r="H184" s="9" t="str">
        <f>IF($A184="","",IF($C184="Bubble Mailer",1,0)*'Material Costs'!$D$5)</f>
        <v/>
      </c>
      <c r="I184" s="9" t="str">
        <f>IF($A184="","",IF($C184="ESE (Ding Defend)",1,0)*'Material Costs'!$D$4)</f>
        <v/>
      </c>
      <c r="J184" s="9"/>
      <c r="K184" s="9" t="str">
        <f t="shared" si="18"/>
        <v/>
      </c>
      <c r="L184" s="9"/>
      <c r="M184" s="9"/>
      <c r="N184" s="9"/>
      <c r="O184" s="9" t="str">
        <f t="shared" si="19"/>
        <v/>
      </c>
      <c r="P184" s="9"/>
      <c r="Q184" s="9" t="str">
        <f>IF($A184="","",IF($O184="", "", ROUND($O184*Settings!$B$2+Settings!$B$3,2)))</f>
        <v/>
      </c>
      <c r="R184" s="9" t="str">
        <f>IF($A184="","",IF($L184="", "", Settings!$B$4))</f>
        <v/>
      </c>
      <c r="S184" s="9" t="str">
        <f t="shared" si="20"/>
        <v/>
      </c>
      <c r="T184" s="9" t="str">
        <f t="shared" si="21"/>
        <v/>
      </c>
      <c r="U184" s="9" t="str">
        <f>IF($A184="","",IF($K184="", "", ROUND((($K184 + Settings!$B$3 + $R184) - IF($M184="",0,$M184))/(1-Settings!$B$2),2)))</f>
        <v/>
      </c>
      <c r="V184" s="9" t="str">
        <f>IF($A184="","",$L184-($L184*Settings!$B$2)-$J184-($B184+SUM($D184:$I184)))</f>
        <v/>
      </c>
      <c r="W184" s="9" t="str">
        <f>IF($A184="","",(($B184+SUM($D184:$I184)+$J184+Settings!$B$3)/(1-Settings!$B$2))-$M184)</f>
        <v/>
      </c>
      <c r="X184" s="10" t="str">
        <f t="shared" si="22"/>
        <v/>
      </c>
      <c r="Y184" s="10" t="str">
        <f t="shared" si="23"/>
        <v/>
      </c>
      <c r="Z184" s="10" t="str">
        <f t="shared" si="24"/>
        <v/>
      </c>
      <c r="AA184" s="10" t="str">
        <f t="shared" si="25"/>
        <v/>
      </c>
      <c r="AC184" s="11"/>
      <c r="AD184" s="11"/>
      <c r="AE184" s="12" t="str">
        <f t="shared" si="26"/>
        <v/>
      </c>
    </row>
    <row r="185" spans="2:31" x14ac:dyDescent="0.25">
      <c r="B185" s="9"/>
      <c r="C185" t="s">
        <v>31</v>
      </c>
      <c r="D185" s="9" t="str">
        <f>IF($A185="","",1*'Material Costs'!$D$3)</f>
        <v/>
      </c>
      <c r="E185" s="9" t="str">
        <f>IF($A185="","",1*'Material Costs'!$D$2)</f>
        <v/>
      </c>
      <c r="F185" s="9" t="str">
        <f>IF($A185="","",IF($C185="Bubble Mailer",2,1)*'Material Costs'!$D$6)</f>
        <v/>
      </c>
      <c r="G185" s="9" t="str">
        <f>IF($A185="","",1*'Material Costs'!$D$7)</f>
        <v/>
      </c>
      <c r="H185" s="9" t="str">
        <f>IF($A185="","",IF($C185="Bubble Mailer",1,0)*'Material Costs'!$D$5)</f>
        <v/>
      </c>
      <c r="I185" s="9" t="str">
        <f>IF($A185="","",IF($C185="ESE (Ding Defend)",1,0)*'Material Costs'!$D$4)</f>
        <v/>
      </c>
      <c r="J185" s="9"/>
      <c r="K185" s="9" t="str">
        <f t="shared" si="18"/>
        <v/>
      </c>
      <c r="L185" s="9"/>
      <c r="M185" s="9"/>
      <c r="N185" s="9"/>
      <c r="O185" s="9" t="str">
        <f t="shared" si="19"/>
        <v/>
      </c>
      <c r="P185" s="9"/>
      <c r="Q185" s="9" t="str">
        <f>IF($A185="","",IF($O185="", "", ROUND($O185*Settings!$B$2+Settings!$B$3,2)))</f>
        <v/>
      </c>
      <c r="R185" s="9" t="str">
        <f>IF($A185="","",IF($L185="", "", Settings!$B$4))</f>
        <v/>
      </c>
      <c r="S185" s="9" t="str">
        <f t="shared" si="20"/>
        <v/>
      </c>
      <c r="T185" s="9" t="str">
        <f t="shared" si="21"/>
        <v/>
      </c>
      <c r="U185" s="9" t="str">
        <f>IF($A185="","",IF($K185="", "", ROUND((($K185 + Settings!$B$3 + $R185) - IF($M185="",0,$M185))/(1-Settings!$B$2),2)))</f>
        <v/>
      </c>
      <c r="V185" s="9" t="str">
        <f>IF($A185="","",$L185-($L185*Settings!$B$2)-$J185-($B185+SUM($D185:$I185)))</f>
        <v/>
      </c>
      <c r="W185" s="9" t="str">
        <f>IF($A185="","",(($B185+SUM($D185:$I185)+$J185+Settings!$B$3)/(1-Settings!$B$2))-$M185)</f>
        <v/>
      </c>
      <c r="X185" s="10" t="str">
        <f t="shared" si="22"/>
        <v/>
      </c>
      <c r="Y185" s="10" t="str">
        <f t="shared" si="23"/>
        <v/>
      </c>
      <c r="Z185" s="10" t="str">
        <f t="shared" si="24"/>
        <v/>
      </c>
      <c r="AA185" s="10" t="str">
        <f t="shared" si="25"/>
        <v/>
      </c>
      <c r="AC185" s="11"/>
      <c r="AD185" s="11"/>
      <c r="AE185" s="12" t="str">
        <f t="shared" si="26"/>
        <v/>
      </c>
    </row>
    <row r="186" spans="2:31" x14ac:dyDescent="0.25">
      <c r="B186" s="9"/>
      <c r="C186" t="s">
        <v>31</v>
      </c>
      <c r="D186" s="9" t="str">
        <f>IF($A186="","",1*'Material Costs'!$D$3)</f>
        <v/>
      </c>
      <c r="E186" s="9" t="str">
        <f>IF($A186="","",1*'Material Costs'!$D$2)</f>
        <v/>
      </c>
      <c r="F186" s="9" t="str">
        <f>IF($A186="","",IF($C186="Bubble Mailer",2,1)*'Material Costs'!$D$6)</f>
        <v/>
      </c>
      <c r="G186" s="9" t="str">
        <f>IF($A186="","",1*'Material Costs'!$D$7)</f>
        <v/>
      </c>
      <c r="H186" s="9" t="str">
        <f>IF($A186="","",IF($C186="Bubble Mailer",1,0)*'Material Costs'!$D$5)</f>
        <v/>
      </c>
      <c r="I186" s="9" t="str">
        <f>IF($A186="","",IF($C186="ESE (Ding Defend)",1,0)*'Material Costs'!$D$4)</f>
        <v/>
      </c>
      <c r="J186" s="9"/>
      <c r="K186" s="9" t="str">
        <f t="shared" si="18"/>
        <v/>
      </c>
      <c r="L186" s="9"/>
      <c r="M186" s="9"/>
      <c r="N186" s="9"/>
      <c r="O186" s="9" t="str">
        <f t="shared" si="19"/>
        <v/>
      </c>
      <c r="P186" s="9"/>
      <c r="Q186" s="9" t="str">
        <f>IF($A186="","",IF($O186="", "", ROUND($O186*Settings!$B$2+Settings!$B$3,2)))</f>
        <v/>
      </c>
      <c r="R186" s="9" t="str">
        <f>IF($A186="","",IF($L186="", "", Settings!$B$4))</f>
        <v/>
      </c>
      <c r="S186" s="9" t="str">
        <f t="shared" si="20"/>
        <v/>
      </c>
      <c r="T186" s="9" t="str">
        <f t="shared" si="21"/>
        <v/>
      </c>
      <c r="U186" s="9" t="str">
        <f>IF($A186="","",IF($K186="", "", ROUND((($K186 + Settings!$B$3 + $R186) - IF($M186="",0,$M186))/(1-Settings!$B$2),2)))</f>
        <v/>
      </c>
      <c r="V186" s="9" t="str">
        <f>IF($A186="","",$L186-($L186*Settings!$B$2)-$J186-($B186+SUM($D186:$I186)))</f>
        <v/>
      </c>
      <c r="W186" s="9" t="str">
        <f>IF($A186="","",(($B186+SUM($D186:$I186)+$J186+Settings!$B$3)/(1-Settings!$B$2))-$M186)</f>
        <v/>
      </c>
      <c r="X186" s="10" t="str">
        <f t="shared" si="22"/>
        <v/>
      </c>
      <c r="Y186" s="10" t="str">
        <f t="shared" si="23"/>
        <v/>
      </c>
      <c r="Z186" s="10" t="str">
        <f t="shared" si="24"/>
        <v/>
      </c>
      <c r="AA186" s="10" t="str">
        <f t="shared" si="25"/>
        <v/>
      </c>
      <c r="AC186" s="11"/>
      <c r="AD186" s="11"/>
      <c r="AE186" s="12" t="str">
        <f t="shared" si="26"/>
        <v/>
      </c>
    </row>
    <row r="187" spans="2:31" x14ac:dyDescent="0.25">
      <c r="B187" s="9"/>
      <c r="C187" t="s">
        <v>31</v>
      </c>
      <c r="D187" s="9" t="str">
        <f>IF($A187="","",1*'Material Costs'!$D$3)</f>
        <v/>
      </c>
      <c r="E187" s="9" t="str">
        <f>IF($A187="","",1*'Material Costs'!$D$2)</f>
        <v/>
      </c>
      <c r="F187" s="9" t="str">
        <f>IF($A187="","",IF($C187="Bubble Mailer",2,1)*'Material Costs'!$D$6)</f>
        <v/>
      </c>
      <c r="G187" s="9" t="str">
        <f>IF($A187="","",1*'Material Costs'!$D$7)</f>
        <v/>
      </c>
      <c r="H187" s="9" t="str">
        <f>IF($A187="","",IF($C187="Bubble Mailer",1,0)*'Material Costs'!$D$5)</f>
        <v/>
      </c>
      <c r="I187" s="9" t="str">
        <f>IF($A187="","",IF($C187="ESE (Ding Defend)",1,0)*'Material Costs'!$D$4)</f>
        <v/>
      </c>
      <c r="J187" s="9"/>
      <c r="K187" s="9" t="str">
        <f t="shared" si="18"/>
        <v/>
      </c>
      <c r="L187" s="9"/>
      <c r="M187" s="9"/>
      <c r="N187" s="9"/>
      <c r="O187" s="9" t="str">
        <f t="shared" si="19"/>
        <v/>
      </c>
      <c r="P187" s="9"/>
      <c r="Q187" s="9" t="str">
        <f>IF($A187="","",IF($O187="", "", ROUND($O187*Settings!$B$2+Settings!$B$3,2)))</f>
        <v/>
      </c>
      <c r="R187" s="9" t="str">
        <f>IF($A187="","",IF($L187="", "", Settings!$B$4))</f>
        <v/>
      </c>
      <c r="S187" s="9" t="str">
        <f t="shared" si="20"/>
        <v/>
      </c>
      <c r="T187" s="9" t="str">
        <f t="shared" si="21"/>
        <v/>
      </c>
      <c r="U187" s="9" t="str">
        <f>IF($A187="","",IF($K187="", "", ROUND((($K187 + Settings!$B$3 + $R187) - IF($M187="",0,$M187))/(1-Settings!$B$2),2)))</f>
        <v/>
      </c>
      <c r="V187" s="9" t="str">
        <f>IF($A187="","",$L187-($L187*Settings!$B$2)-$J187-($B187+SUM($D187:$I187)))</f>
        <v/>
      </c>
      <c r="W187" s="9" t="str">
        <f>IF($A187="","",(($B187+SUM($D187:$I187)+$J187+Settings!$B$3)/(1-Settings!$B$2))-$M187)</f>
        <v/>
      </c>
      <c r="X187" s="10" t="str">
        <f t="shared" si="22"/>
        <v/>
      </c>
      <c r="Y187" s="10" t="str">
        <f t="shared" si="23"/>
        <v/>
      </c>
      <c r="Z187" s="10" t="str">
        <f t="shared" si="24"/>
        <v/>
      </c>
      <c r="AA187" s="10" t="str">
        <f t="shared" si="25"/>
        <v/>
      </c>
      <c r="AC187" s="11"/>
      <c r="AD187" s="11"/>
      <c r="AE187" s="12" t="str">
        <f t="shared" si="26"/>
        <v/>
      </c>
    </row>
    <row r="188" spans="2:31" x14ac:dyDescent="0.25">
      <c r="B188" s="9"/>
      <c r="C188" t="s">
        <v>31</v>
      </c>
      <c r="D188" s="9" t="str">
        <f>IF($A188="","",1*'Material Costs'!$D$3)</f>
        <v/>
      </c>
      <c r="E188" s="9" t="str">
        <f>IF($A188="","",1*'Material Costs'!$D$2)</f>
        <v/>
      </c>
      <c r="F188" s="9" t="str">
        <f>IF($A188="","",IF($C188="Bubble Mailer",2,1)*'Material Costs'!$D$6)</f>
        <v/>
      </c>
      <c r="G188" s="9" t="str">
        <f>IF($A188="","",1*'Material Costs'!$D$7)</f>
        <v/>
      </c>
      <c r="H188" s="9" t="str">
        <f>IF($A188="","",IF($C188="Bubble Mailer",1,0)*'Material Costs'!$D$5)</f>
        <v/>
      </c>
      <c r="I188" s="9" t="str">
        <f>IF($A188="","",IF($C188="ESE (Ding Defend)",1,0)*'Material Costs'!$D$4)</f>
        <v/>
      </c>
      <c r="J188" s="9"/>
      <c r="K188" s="9" t="str">
        <f t="shared" si="18"/>
        <v/>
      </c>
      <c r="L188" s="9"/>
      <c r="M188" s="9"/>
      <c r="N188" s="9"/>
      <c r="O188" s="9" t="str">
        <f t="shared" si="19"/>
        <v/>
      </c>
      <c r="P188" s="9"/>
      <c r="Q188" s="9" t="str">
        <f>IF($A188="","",IF($O188="", "", ROUND($O188*Settings!$B$2+Settings!$B$3,2)))</f>
        <v/>
      </c>
      <c r="R188" s="9" t="str">
        <f>IF($A188="","",IF($L188="", "", Settings!$B$4))</f>
        <v/>
      </c>
      <c r="S188" s="9" t="str">
        <f t="shared" si="20"/>
        <v/>
      </c>
      <c r="T188" s="9" t="str">
        <f t="shared" si="21"/>
        <v/>
      </c>
      <c r="U188" s="9" t="str">
        <f>IF($A188="","",IF($K188="", "", ROUND((($K188 + Settings!$B$3 + $R188) - IF($M188="",0,$M188))/(1-Settings!$B$2),2)))</f>
        <v/>
      </c>
      <c r="V188" s="9" t="str">
        <f>IF($A188="","",$L188-($L188*Settings!$B$2)-$J188-($B188+SUM($D188:$I188)))</f>
        <v/>
      </c>
      <c r="W188" s="9" t="str">
        <f>IF($A188="","",(($B188+SUM($D188:$I188)+$J188+Settings!$B$3)/(1-Settings!$B$2))-$M188)</f>
        <v/>
      </c>
      <c r="X188" s="10" t="str">
        <f t="shared" si="22"/>
        <v/>
      </c>
      <c r="Y188" s="10" t="str">
        <f t="shared" si="23"/>
        <v/>
      </c>
      <c r="Z188" s="10" t="str">
        <f t="shared" si="24"/>
        <v/>
      </c>
      <c r="AA188" s="10" t="str">
        <f t="shared" si="25"/>
        <v/>
      </c>
      <c r="AC188" s="11"/>
      <c r="AD188" s="11"/>
      <c r="AE188" s="12" t="str">
        <f t="shared" si="26"/>
        <v/>
      </c>
    </row>
    <row r="189" spans="2:31" x14ac:dyDescent="0.25">
      <c r="B189" s="9"/>
      <c r="C189" t="s">
        <v>31</v>
      </c>
      <c r="D189" s="9" t="str">
        <f>IF($A189="","",1*'Material Costs'!$D$3)</f>
        <v/>
      </c>
      <c r="E189" s="9" t="str">
        <f>IF($A189="","",1*'Material Costs'!$D$2)</f>
        <v/>
      </c>
      <c r="F189" s="9" t="str">
        <f>IF($A189="","",IF($C189="Bubble Mailer",2,1)*'Material Costs'!$D$6)</f>
        <v/>
      </c>
      <c r="G189" s="9" t="str">
        <f>IF($A189="","",1*'Material Costs'!$D$7)</f>
        <v/>
      </c>
      <c r="H189" s="9" t="str">
        <f>IF($A189="","",IF($C189="Bubble Mailer",1,0)*'Material Costs'!$D$5)</f>
        <v/>
      </c>
      <c r="I189" s="9" t="str">
        <f>IF($A189="","",IF($C189="ESE (Ding Defend)",1,0)*'Material Costs'!$D$4)</f>
        <v/>
      </c>
      <c r="J189" s="9"/>
      <c r="K189" s="9" t="str">
        <f t="shared" si="18"/>
        <v/>
      </c>
      <c r="L189" s="9"/>
      <c r="M189" s="9"/>
      <c r="N189" s="9"/>
      <c r="O189" s="9" t="str">
        <f t="shared" si="19"/>
        <v/>
      </c>
      <c r="P189" s="9"/>
      <c r="Q189" s="9" t="str">
        <f>IF($A189="","",IF($O189="", "", ROUND($O189*Settings!$B$2+Settings!$B$3,2)))</f>
        <v/>
      </c>
      <c r="R189" s="9" t="str">
        <f>IF($A189="","",IF($L189="", "", Settings!$B$4))</f>
        <v/>
      </c>
      <c r="S189" s="9" t="str">
        <f t="shared" si="20"/>
        <v/>
      </c>
      <c r="T189" s="9" t="str">
        <f t="shared" si="21"/>
        <v/>
      </c>
      <c r="U189" s="9" t="str">
        <f>IF($A189="","",IF($K189="", "", ROUND((($K189 + Settings!$B$3 + $R189) - IF($M189="",0,$M189))/(1-Settings!$B$2),2)))</f>
        <v/>
      </c>
      <c r="V189" s="9" t="str">
        <f>IF($A189="","",$L189-($L189*Settings!$B$2)-$J189-($B189+SUM($D189:$I189)))</f>
        <v/>
      </c>
      <c r="W189" s="9" t="str">
        <f>IF($A189="","",(($B189+SUM($D189:$I189)+$J189+Settings!$B$3)/(1-Settings!$B$2))-$M189)</f>
        <v/>
      </c>
      <c r="X189" s="10" t="str">
        <f t="shared" si="22"/>
        <v/>
      </c>
      <c r="Y189" s="10" t="str">
        <f t="shared" si="23"/>
        <v/>
      </c>
      <c r="Z189" s="10" t="str">
        <f t="shared" si="24"/>
        <v/>
      </c>
      <c r="AA189" s="10" t="str">
        <f t="shared" si="25"/>
        <v/>
      </c>
      <c r="AC189" s="11"/>
      <c r="AD189" s="11"/>
      <c r="AE189" s="12" t="str">
        <f t="shared" si="26"/>
        <v/>
      </c>
    </row>
    <row r="190" spans="2:31" x14ac:dyDescent="0.25">
      <c r="B190" s="9"/>
      <c r="C190" t="s">
        <v>31</v>
      </c>
      <c r="D190" s="9" t="str">
        <f>IF($A190="","",1*'Material Costs'!$D$3)</f>
        <v/>
      </c>
      <c r="E190" s="9" t="str">
        <f>IF($A190="","",1*'Material Costs'!$D$2)</f>
        <v/>
      </c>
      <c r="F190" s="9" t="str">
        <f>IF($A190="","",IF($C190="Bubble Mailer",2,1)*'Material Costs'!$D$6)</f>
        <v/>
      </c>
      <c r="G190" s="9" t="str">
        <f>IF($A190="","",1*'Material Costs'!$D$7)</f>
        <v/>
      </c>
      <c r="H190" s="9" t="str">
        <f>IF($A190="","",IF($C190="Bubble Mailer",1,0)*'Material Costs'!$D$5)</f>
        <v/>
      </c>
      <c r="I190" s="9" t="str">
        <f>IF($A190="","",IF($C190="ESE (Ding Defend)",1,0)*'Material Costs'!$D$4)</f>
        <v/>
      </c>
      <c r="J190" s="9"/>
      <c r="K190" s="9" t="str">
        <f t="shared" si="18"/>
        <v/>
      </c>
      <c r="L190" s="9"/>
      <c r="M190" s="9"/>
      <c r="N190" s="9"/>
      <c r="O190" s="9" t="str">
        <f t="shared" si="19"/>
        <v/>
      </c>
      <c r="P190" s="9"/>
      <c r="Q190" s="9" t="str">
        <f>IF($A190="","",IF($O190="", "", ROUND($O190*Settings!$B$2+Settings!$B$3,2)))</f>
        <v/>
      </c>
      <c r="R190" s="9" t="str">
        <f>IF($A190="","",IF($L190="", "", Settings!$B$4))</f>
        <v/>
      </c>
      <c r="S190" s="9" t="str">
        <f t="shared" si="20"/>
        <v/>
      </c>
      <c r="T190" s="9" t="str">
        <f t="shared" si="21"/>
        <v/>
      </c>
      <c r="U190" s="9" t="str">
        <f>IF($A190="","",IF($K190="", "", ROUND((($K190 + Settings!$B$3 + $R190) - IF($M190="",0,$M190))/(1-Settings!$B$2),2)))</f>
        <v/>
      </c>
      <c r="V190" s="9" t="str">
        <f>IF($A190="","",$L190-($L190*Settings!$B$2)-$J190-($B190+SUM($D190:$I190)))</f>
        <v/>
      </c>
      <c r="W190" s="9" t="str">
        <f>IF($A190="","",(($B190+SUM($D190:$I190)+$J190+Settings!$B$3)/(1-Settings!$B$2))-$M190)</f>
        <v/>
      </c>
      <c r="X190" s="10" t="str">
        <f t="shared" si="22"/>
        <v/>
      </c>
      <c r="Y190" s="10" t="str">
        <f t="shared" si="23"/>
        <v/>
      </c>
      <c r="Z190" s="10" t="str">
        <f t="shared" si="24"/>
        <v/>
      </c>
      <c r="AA190" s="10" t="str">
        <f t="shared" si="25"/>
        <v/>
      </c>
      <c r="AC190" s="11"/>
      <c r="AD190" s="11"/>
      <c r="AE190" s="12" t="str">
        <f t="shared" si="26"/>
        <v/>
      </c>
    </row>
    <row r="191" spans="2:31" x14ac:dyDescent="0.25">
      <c r="B191" s="9"/>
      <c r="C191" t="s">
        <v>31</v>
      </c>
      <c r="D191" s="9" t="str">
        <f>IF($A191="","",1*'Material Costs'!$D$3)</f>
        <v/>
      </c>
      <c r="E191" s="9" t="str">
        <f>IF($A191="","",1*'Material Costs'!$D$2)</f>
        <v/>
      </c>
      <c r="F191" s="9" t="str">
        <f>IF($A191="","",IF($C191="Bubble Mailer",2,1)*'Material Costs'!$D$6)</f>
        <v/>
      </c>
      <c r="G191" s="9" t="str">
        <f>IF($A191="","",1*'Material Costs'!$D$7)</f>
        <v/>
      </c>
      <c r="H191" s="9" t="str">
        <f>IF($A191="","",IF($C191="Bubble Mailer",1,0)*'Material Costs'!$D$5)</f>
        <v/>
      </c>
      <c r="I191" s="9" t="str">
        <f>IF($A191="","",IF($C191="ESE (Ding Defend)",1,0)*'Material Costs'!$D$4)</f>
        <v/>
      </c>
      <c r="J191" s="9"/>
      <c r="K191" s="9" t="str">
        <f t="shared" si="18"/>
        <v/>
      </c>
      <c r="L191" s="9"/>
      <c r="M191" s="9"/>
      <c r="N191" s="9"/>
      <c r="O191" s="9" t="str">
        <f t="shared" si="19"/>
        <v/>
      </c>
      <c r="P191" s="9"/>
      <c r="Q191" s="9" t="str">
        <f>IF($A191="","",IF($O191="", "", ROUND($O191*Settings!$B$2+Settings!$B$3,2)))</f>
        <v/>
      </c>
      <c r="R191" s="9" t="str">
        <f>IF($A191="","",IF($L191="", "", Settings!$B$4))</f>
        <v/>
      </c>
      <c r="S191" s="9" t="str">
        <f t="shared" si="20"/>
        <v/>
      </c>
      <c r="T191" s="9" t="str">
        <f t="shared" si="21"/>
        <v/>
      </c>
      <c r="U191" s="9" t="str">
        <f>IF($A191="","",IF($K191="", "", ROUND((($K191 + Settings!$B$3 + $R191) - IF($M191="",0,$M191))/(1-Settings!$B$2),2)))</f>
        <v/>
      </c>
      <c r="V191" s="9" t="str">
        <f>IF($A191="","",$L191-($L191*Settings!$B$2)-$J191-($B191+SUM($D191:$I191)))</f>
        <v/>
      </c>
      <c r="W191" s="9" t="str">
        <f>IF($A191="","",(($B191+SUM($D191:$I191)+$J191+Settings!$B$3)/(1-Settings!$B$2))-$M191)</f>
        <v/>
      </c>
      <c r="X191" s="10" t="str">
        <f t="shared" si="22"/>
        <v/>
      </c>
      <c r="Y191" s="10" t="str">
        <f t="shared" si="23"/>
        <v/>
      </c>
      <c r="Z191" s="10" t="str">
        <f t="shared" si="24"/>
        <v/>
      </c>
      <c r="AA191" s="10" t="str">
        <f t="shared" si="25"/>
        <v/>
      </c>
      <c r="AC191" s="11"/>
      <c r="AD191" s="11"/>
      <c r="AE191" s="12" t="str">
        <f t="shared" si="26"/>
        <v/>
      </c>
    </row>
    <row r="192" spans="2:31" x14ac:dyDescent="0.25">
      <c r="B192" s="9"/>
      <c r="C192" t="s">
        <v>31</v>
      </c>
      <c r="D192" s="9" t="str">
        <f>IF($A192="","",1*'Material Costs'!$D$3)</f>
        <v/>
      </c>
      <c r="E192" s="9" t="str">
        <f>IF($A192="","",1*'Material Costs'!$D$2)</f>
        <v/>
      </c>
      <c r="F192" s="9" t="str">
        <f>IF($A192="","",IF($C192="Bubble Mailer",2,1)*'Material Costs'!$D$6)</f>
        <v/>
      </c>
      <c r="G192" s="9" t="str">
        <f>IF($A192="","",1*'Material Costs'!$D$7)</f>
        <v/>
      </c>
      <c r="H192" s="9" t="str">
        <f>IF($A192="","",IF($C192="Bubble Mailer",1,0)*'Material Costs'!$D$5)</f>
        <v/>
      </c>
      <c r="I192" s="9" t="str">
        <f>IF($A192="","",IF($C192="ESE (Ding Defend)",1,0)*'Material Costs'!$D$4)</f>
        <v/>
      </c>
      <c r="J192" s="9"/>
      <c r="K192" s="9" t="str">
        <f t="shared" si="18"/>
        <v/>
      </c>
      <c r="L192" s="9"/>
      <c r="M192" s="9"/>
      <c r="N192" s="9"/>
      <c r="O192" s="9" t="str">
        <f t="shared" si="19"/>
        <v/>
      </c>
      <c r="P192" s="9"/>
      <c r="Q192" s="9" t="str">
        <f>IF($A192="","",IF($O192="", "", ROUND($O192*Settings!$B$2+Settings!$B$3,2)))</f>
        <v/>
      </c>
      <c r="R192" s="9" t="str">
        <f>IF($A192="","",IF($L192="", "", Settings!$B$4))</f>
        <v/>
      </c>
      <c r="S192" s="9" t="str">
        <f t="shared" si="20"/>
        <v/>
      </c>
      <c r="T192" s="9" t="str">
        <f t="shared" si="21"/>
        <v/>
      </c>
      <c r="U192" s="9" t="str">
        <f>IF($A192="","",IF($K192="", "", ROUND((($K192 + Settings!$B$3 + $R192) - IF($M192="",0,$M192))/(1-Settings!$B$2),2)))</f>
        <v/>
      </c>
      <c r="V192" s="9" t="str">
        <f>IF($A192="","",$L192-($L192*Settings!$B$2)-$J192-($B192+SUM($D192:$I192)))</f>
        <v/>
      </c>
      <c r="W192" s="9" t="str">
        <f>IF($A192="","",(($B192+SUM($D192:$I192)+$J192+Settings!$B$3)/(1-Settings!$B$2))-$M192)</f>
        <v/>
      </c>
      <c r="X192" s="10" t="str">
        <f t="shared" si="22"/>
        <v/>
      </c>
      <c r="Y192" s="10" t="str">
        <f t="shared" si="23"/>
        <v/>
      </c>
      <c r="Z192" s="10" t="str">
        <f t="shared" si="24"/>
        <v/>
      </c>
      <c r="AA192" s="10" t="str">
        <f t="shared" si="25"/>
        <v/>
      </c>
      <c r="AC192" s="11"/>
      <c r="AD192" s="11"/>
      <c r="AE192" s="12" t="str">
        <f t="shared" si="26"/>
        <v/>
      </c>
    </row>
    <row r="193" spans="2:31" x14ac:dyDescent="0.25">
      <c r="B193" s="9"/>
      <c r="C193" t="s">
        <v>31</v>
      </c>
      <c r="D193" s="9" t="str">
        <f>IF($A193="","",1*'Material Costs'!$D$3)</f>
        <v/>
      </c>
      <c r="E193" s="9" t="str">
        <f>IF($A193="","",1*'Material Costs'!$D$2)</f>
        <v/>
      </c>
      <c r="F193" s="9" t="str">
        <f>IF($A193="","",IF($C193="Bubble Mailer",2,1)*'Material Costs'!$D$6)</f>
        <v/>
      </c>
      <c r="G193" s="9" t="str">
        <f>IF($A193="","",1*'Material Costs'!$D$7)</f>
        <v/>
      </c>
      <c r="H193" s="9" t="str">
        <f>IF($A193="","",IF($C193="Bubble Mailer",1,0)*'Material Costs'!$D$5)</f>
        <v/>
      </c>
      <c r="I193" s="9" t="str">
        <f>IF($A193="","",IF($C193="ESE (Ding Defend)",1,0)*'Material Costs'!$D$4)</f>
        <v/>
      </c>
      <c r="J193" s="9"/>
      <c r="K193" s="9" t="str">
        <f t="shared" ref="K193:K256" si="27">IF($A193="","",SUM($B193:$J193))</f>
        <v/>
      </c>
      <c r="L193" s="9"/>
      <c r="M193" s="9"/>
      <c r="N193" s="9"/>
      <c r="O193" s="9" t="str">
        <f t="shared" ref="O193:O256" si="28">IF($A193="","",SUM($L193:$N193))</f>
        <v/>
      </c>
      <c r="P193" s="9"/>
      <c r="Q193" s="9" t="str">
        <f>IF($A193="","",IF($O193="", "", ROUND($O193*Settings!$B$2+Settings!$B$3,2)))</f>
        <v/>
      </c>
      <c r="R193" s="9" t="str">
        <f>IF($A193="","",IF($L193="", "", Settings!$B$4))</f>
        <v/>
      </c>
      <c r="S193" s="9" t="str">
        <f t="shared" ref="S193:S256" si="29">IF($A193="","",IF($O193="", "", ROUND($O193 - IF($P193&lt;&gt;"",$P193,$Q193) - $R193,2)))</f>
        <v/>
      </c>
      <c r="T193" s="9" t="str">
        <f t="shared" ref="T193:T256" si="30">IF($A193="","",IF($S193="", "", ROUND($S193 - $K193,2)))</f>
        <v/>
      </c>
      <c r="U193" s="9" t="str">
        <f>IF($A193="","",IF($K193="", "", ROUND((($K193 + Settings!$B$3 + $R193) - IF($M193="",0,$M193))/(1-Settings!$B$2),2)))</f>
        <v/>
      </c>
      <c r="V193" s="9" t="str">
        <f>IF($A193="","",$L193-($L193*Settings!$B$2)-$J193-($B193+SUM($D193:$I193)))</f>
        <v/>
      </c>
      <c r="W193" s="9" t="str">
        <f>IF($A193="","",(($B193+SUM($D193:$I193)+$J193+Settings!$B$3)/(1-Settings!$B$2))-$M193)</f>
        <v/>
      </c>
      <c r="X193" s="10" t="str">
        <f t="shared" ref="X193:X256" si="31">IF($A193="","",IF($O193="", "", IFERROR($T193/$O193, "")))</f>
        <v/>
      </c>
      <c r="Y193" s="10" t="str">
        <f t="shared" ref="Y193:Y256" si="32">IF($A193="","",IF($K193="", "", IFERROR($T193/$K193, "")))</f>
        <v/>
      </c>
      <c r="Z193" s="10" t="str">
        <f t="shared" ref="Z193:Z256" si="33">IF($A193="","",IF($O193="", "", IFERROR($Q193/$O193, "")))</f>
        <v/>
      </c>
      <c r="AA193" s="10" t="str">
        <f t="shared" ref="AA193:AA256" si="34">IF($A193="","",IF($L193="", "", IFERROR($T193/$L193, "")))</f>
        <v/>
      </c>
      <c r="AC193" s="11"/>
      <c r="AD193" s="11"/>
      <c r="AE193" s="12" t="str">
        <f t="shared" ref="AE193:AE256" si="35">IF($A193="","",IF(OR($AC193="", $AD193=""),"", $AD193-$AC193))</f>
        <v/>
      </c>
    </row>
    <row r="194" spans="2:31" x14ac:dyDescent="0.25">
      <c r="B194" s="9"/>
      <c r="C194" t="s">
        <v>31</v>
      </c>
      <c r="D194" s="9" t="str">
        <f>IF($A194="","",1*'Material Costs'!$D$3)</f>
        <v/>
      </c>
      <c r="E194" s="9" t="str">
        <f>IF($A194="","",1*'Material Costs'!$D$2)</f>
        <v/>
      </c>
      <c r="F194" s="9" t="str">
        <f>IF($A194="","",IF($C194="Bubble Mailer",2,1)*'Material Costs'!$D$6)</f>
        <v/>
      </c>
      <c r="G194" s="9" t="str">
        <f>IF($A194="","",1*'Material Costs'!$D$7)</f>
        <v/>
      </c>
      <c r="H194" s="9" t="str">
        <f>IF($A194="","",IF($C194="Bubble Mailer",1,0)*'Material Costs'!$D$5)</f>
        <v/>
      </c>
      <c r="I194" s="9" t="str">
        <f>IF($A194="","",IF($C194="ESE (Ding Defend)",1,0)*'Material Costs'!$D$4)</f>
        <v/>
      </c>
      <c r="J194" s="9"/>
      <c r="K194" s="9" t="str">
        <f t="shared" si="27"/>
        <v/>
      </c>
      <c r="L194" s="9"/>
      <c r="M194" s="9"/>
      <c r="N194" s="9"/>
      <c r="O194" s="9" t="str">
        <f t="shared" si="28"/>
        <v/>
      </c>
      <c r="P194" s="9"/>
      <c r="Q194" s="9" t="str">
        <f>IF($A194="","",IF($O194="", "", ROUND($O194*Settings!$B$2+Settings!$B$3,2)))</f>
        <v/>
      </c>
      <c r="R194" s="9" t="str">
        <f>IF($A194="","",IF($L194="", "", Settings!$B$4))</f>
        <v/>
      </c>
      <c r="S194" s="9" t="str">
        <f t="shared" si="29"/>
        <v/>
      </c>
      <c r="T194" s="9" t="str">
        <f t="shared" si="30"/>
        <v/>
      </c>
      <c r="U194" s="9" t="str">
        <f>IF($A194="","",IF($K194="", "", ROUND((($K194 + Settings!$B$3 + $R194) - IF($M194="",0,$M194))/(1-Settings!$B$2),2)))</f>
        <v/>
      </c>
      <c r="V194" s="9" t="str">
        <f>IF($A194="","",$L194-($L194*Settings!$B$2)-$J194-($B194+SUM($D194:$I194)))</f>
        <v/>
      </c>
      <c r="W194" s="9" t="str">
        <f>IF($A194="","",(($B194+SUM($D194:$I194)+$J194+Settings!$B$3)/(1-Settings!$B$2))-$M194)</f>
        <v/>
      </c>
      <c r="X194" s="10" t="str">
        <f t="shared" si="31"/>
        <v/>
      </c>
      <c r="Y194" s="10" t="str">
        <f t="shared" si="32"/>
        <v/>
      </c>
      <c r="Z194" s="10" t="str">
        <f t="shared" si="33"/>
        <v/>
      </c>
      <c r="AA194" s="10" t="str">
        <f t="shared" si="34"/>
        <v/>
      </c>
      <c r="AC194" s="11"/>
      <c r="AD194" s="11"/>
      <c r="AE194" s="12" t="str">
        <f t="shared" si="35"/>
        <v/>
      </c>
    </row>
    <row r="195" spans="2:31" x14ac:dyDescent="0.25">
      <c r="B195" s="9"/>
      <c r="C195" t="s">
        <v>31</v>
      </c>
      <c r="D195" s="9" t="str">
        <f>IF($A195="","",1*'Material Costs'!$D$3)</f>
        <v/>
      </c>
      <c r="E195" s="9" t="str">
        <f>IF($A195="","",1*'Material Costs'!$D$2)</f>
        <v/>
      </c>
      <c r="F195" s="9" t="str">
        <f>IF($A195="","",IF($C195="Bubble Mailer",2,1)*'Material Costs'!$D$6)</f>
        <v/>
      </c>
      <c r="G195" s="9" t="str">
        <f>IF($A195="","",1*'Material Costs'!$D$7)</f>
        <v/>
      </c>
      <c r="H195" s="9" t="str">
        <f>IF($A195="","",IF($C195="Bubble Mailer",1,0)*'Material Costs'!$D$5)</f>
        <v/>
      </c>
      <c r="I195" s="9" t="str">
        <f>IF($A195="","",IF($C195="ESE (Ding Defend)",1,0)*'Material Costs'!$D$4)</f>
        <v/>
      </c>
      <c r="J195" s="9"/>
      <c r="K195" s="9" t="str">
        <f t="shared" si="27"/>
        <v/>
      </c>
      <c r="L195" s="9"/>
      <c r="M195" s="9"/>
      <c r="N195" s="9"/>
      <c r="O195" s="9" t="str">
        <f t="shared" si="28"/>
        <v/>
      </c>
      <c r="P195" s="9"/>
      <c r="Q195" s="9" t="str">
        <f>IF($A195="","",IF($O195="", "", ROUND($O195*Settings!$B$2+Settings!$B$3,2)))</f>
        <v/>
      </c>
      <c r="R195" s="9" t="str">
        <f>IF($A195="","",IF($L195="", "", Settings!$B$4))</f>
        <v/>
      </c>
      <c r="S195" s="9" t="str">
        <f t="shared" si="29"/>
        <v/>
      </c>
      <c r="T195" s="9" t="str">
        <f t="shared" si="30"/>
        <v/>
      </c>
      <c r="U195" s="9" t="str">
        <f>IF($A195="","",IF($K195="", "", ROUND((($K195 + Settings!$B$3 + $R195) - IF($M195="",0,$M195))/(1-Settings!$B$2),2)))</f>
        <v/>
      </c>
      <c r="V195" s="9" t="str">
        <f>IF($A195="","",$L195-($L195*Settings!$B$2)-$J195-($B195+SUM($D195:$I195)))</f>
        <v/>
      </c>
      <c r="W195" s="9" t="str">
        <f>IF($A195="","",(($B195+SUM($D195:$I195)+$J195+Settings!$B$3)/(1-Settings!$B$2))-$M195)</f>
        <v/>
      </c>
      <c r="X195" s="10" t="str">
        <f t="shared" si="31"/>
        <v/>
      </c>
      <c r="Y195" s="10" t="str">
        <f t="shared" si="32"/>
        <v/>
      </c>
      <c r="Z195" s="10" t="str">
        <f t="shared" si="33"/>
        <v/>
      </c>
      <c r="AA195" s="10" t="str">
        <f t="shared" si="34"/>
        <v/>
      </c>
      <c r="AC195" s="11"/>
      <c r="AD195" s="11"/>
      <c r="AE195" s="12" t="str">
        <f t="shared" si="35"/>
        <v/>
      </c>
    </row>
    <row r="196" spans="2:31" x14ac:dyDescent="0.25">
      <c r="B196" s="9"/>
      <c r="C196" t="s">
        <v>31</v>
      </c>
      <c r="D196" s="9" t="str">
        <f>IF($A196="","",1*'Material Costs'!$D$3)</f>
        <v/>
      </c>
      <c r="E196" s="9" t="str">
        <f>IF($A196="","",1*'Material Costs'!$D$2)</f>
        <v/>
      </c>
      <c r="F196" s="9" t="str">
        <f>IF($A196="","",IF($C196="Bubble Mailer",2,1)*'Material Costs'!$D$6)</f>
        <v/>
      </c>
      <c r="G196" s="9" t="str">
        <f>IF($A196="","",1*'Material Costs'!$D$7)</f>
        <v/>
      </c>
      <c r="H196" s="9" t="str">
        <f>IF($A196="","",IF($C196="Bubble Mailer",1,0)*'Material Costs'!$D$5)</f>
        <v/>
      </c>
      <c r="I196" s="9" t="str">
        <f>IF($A196="","",IF($C196="ESE (Ding Defend)",1,0)*'Material Costs'!$D$4)</f>
        <v/>
      </c>
      <c r="J196" s="9"/>
      <c r="K196" s="9" t="str">
        <f t="shared" si="27"/>
        <v/>
      </c>
      <c r="L196" s="9"/>
      <c r="M196" s="9"/>
      <c r="N196" s="9"/>
      <c r="O196" s="9" t="str">
        <f t="shared" si="28"/>
        <v/>
      </c>
      <c r="P196" s="9"/>
      <c r="Q196" s="9" t="str">
        <f>IF($A196="","",IF($O196="", "", ROUND($O196*Settings!$B$2+Settings!$B$3,2)))</f>
        <v/>
      </c>
      <c r="R196" s="9" t="str">
        <f>IF($A196="","",IF($L196="", "", Settings!$B$4))</f>
        <v/>
      </c>
      <c r="S196" s="9" t="str">
        <f t="shared" si="29"/>
        <v/>
      </c>
      <c r="T196" s="9" t="str">
        <f t="shared" si="30"/>
        <v/>
      </c>
      <c r="U196" s="9" t="str">
        <f>IF($A196="","",IF($K196="", "", ROUND((($K196 + Settings!$B$3 + $R196) - IF($M196="",0,$M196))/(1-Settings!$B$2),2)))</f>
        <v/>
      </c>
      <c r="V196" s="9" t="str">
        <f>IF($A196="","",$L196-($L196*Settings!$B$2)-$J196-($B196+SUM($D196:$I196)))</f>
        <v/>
      </c>
      <c r="W196" s="9" t="str">
        <f>IF($A196="","",(($B196+SUM($D196:$I196)+$J196+Settings!$B$3)/(1-Settings!$B$2))-$M196)</f>
        <v/>
      </c>
      <c r="X196" s="10" t="str">
        <f t="shared" si="31"/>
        <v/>
      </c>
      <c r="Y196" s="10" t="str">
        <f t="shared" si="32"/>
        <v/>
      </c>
      <c r="Z196" s="10" t="str">
        <f t="shared" si="33"/>
        <v/>
      </c>
      <c r="AA196" s="10" t="str">
        <f t="shared" si="34"/>
        <v/>
      </c>
      <c r="AC196" s="11"/>
      <c r="AD196" s="11"/>
      <c r="AE196" s="12" t="str">
        <f t="shared" si="35"/>
        <v/>
      </c>
    </row>
    <row r="197" spans="2:31" x14ac:dyDescent="0.25">
      <c r="B197" s="9"/>
      <c r="C197" t="s">
        <v>31</v>
      </c>
      <c r="D197" s="9" t="str">
        <f>IF($A197="","",1*'Material Costs'!$D$3)</f>
        <v/>
      </c>
      <c r="E197" s="9" t="str">
        <f>IF($A197="","",1*'Material Costs'!$D$2)</f>
        <v/>
      </c>
      <c r="F197" s="9" t="str">
        <f>IF($A197="","",IF($C197="Bubble Mailer",2,1)*'Material Costs'!$D$6)</f>
        <v/>
      </c>
      <c r="G197" s="9" t="str">
        <f>IF($A197="","",1*'Material Costs'!$D$7)</f>
        <v/>
      </c>
      <c r="H197" s="9" t="str">
        <f>IF($A197="","",IF($C197="Bubble Mailer",1,0)*'Material Costs'!$D$5)</f>
        <v/>
      </c>
      <c r="I197" s="9" t="str">
        <f>IF($A197="","",IF($C197="ESE (Ding Defend)",1,0)*'Material Costs'!$D$4)</f>
        <v/>
      </c>
      <c r="J197" s="9"/>
      <c r="K197" s="9" t="str">
        <f t="shared" si="27"/>
        <v/>
      </c>
      <c r="L197" s="9"/>
      <c r="M197" s="9"/>
      <c r="N197" s="9"/>
      <c r="O197" s="9" t="str">
        <f t="shared" si="28"/>
        <v/>
      </c>
      <c r="P197" s="9"/>
      <c r="Q197" s="9" t="str">
        <f>IF($A197="","",IF($O197="", "", ROUND($O197*Settings!$B$2+Settings!$B$3,2)))</f>
        <v/>
      </c>
      <c r="R197" s="9" t="str">
        <f>IF($A197="","",IF($L197="", "", Settings!$B$4))</f>
        <v/>
      </c>
      <c r="S197" s="9" t="str">
        <f t="shared" si="29"/>
        <v/>
      </c>
      <c r="T197" s="9" t="str">
        <f t="shared" si="30"/>
        <v/>
      </c>
      <c r="U197" s="9" t="str">
        <f>IF($A197="","",IF($K197="", "", ROUND((($K197 + Settings!$B$3 + $R197) - IF($M197="",0,$M197))/(1-Settings!$B$2),2)))</f>
        <v/>
      </c>
      <c r="V197" s="9" t="str">
        <f>IF($A197="","",$L197-($L197*Settings!$B$2)-$J197-($B197+SUM($D197:$I197)))</f>
        <v/>
      </c>
      <c r="W197" s="9" t="str">
        <f>IF($A197="","",(($B197+SUM($D197:$I197)+$J197+Settings!$B$3)/(1-Settings!$B$2))-$M197)</f>
        <v/>
      </c>
      <c r="X197" s="10" t="str">
        <f t="shared" si="31"/>
        <v/>
      </c>
      <c r="Y197" s="10" t="str">
        <f t="shared" si="32"/>
        <v/>
      </c>
      <c r="Z197" s="10" t="str">
        <f t="shared" si="33"/>
        <v/>
      </c>
      <c r="AA197" s="10" t="str">
        <f t="shared" si="34"/>
        <v/>
      </c>
      <c r="AC197" s="11"/>
      <c r="AD197" s="11"/>
      <c r="AE197" s="12" t="str">
        <f t="shared" si="35"/>
        <v/>
      </c>
    </row>
    <row r="198" spans="2:31" x14ac:dyDescent="0.25">
      <c r="B198" s="9"/>
      <c r="C198" t="s">
        <v>31</v>
      </c>
      <c r="D198" s="9" t="str">
        <f>IF($A198="","",1*'Material Costs'!$D$3)</f>
        <v/>
      </c>
      <c r="E198" s="9" t="str">
        <f>IF($A198="","",1*'Material Costs'!$D$2)</f>
        <v/>
      </c>
      <c r="F198" s="9" t="str">
        <f>IF($A198="","",IF($C198="Bubble Mailer",2,1)*'Material Costs'!$D$6)</f>
        <v/>
      </c>
      <c r="G198" s="9" t="str">
        <f>IF($A198="","",1*'Material Costs'!$D$7)</f>
        <v/>
      </c>
      <c r="H198" s="9" t="str">
        <f>IF($A198="","",IF($C198="Bubble Mailer",1,0)*'Material Costs'!$D$5)</f>
        <v/>
      </c>
      <c r="I198" s="9" t="str">
        <f>IF($A198="","",IF($C198="ESE (Ding Defend)",1,0)*'Material Costs'!$D$4)</f>
        <v/>
      </c>
      <c r="J198" s="9"/>
      <c r="K198" s="9" t="str">
        <f t="shared" si="27"/>
        <v/>
      </c>
      <c r="L198" s="9"/>
      <c r="M198" s="9"/>
      <c r="N198" s="9"/>
      <c r="O198" s="9" t="str">
        <f t="shared" si="28"/>
        <v/>
      </c>
      <c r="P198" s="9"/>
      <c r="Q198" s="9" t="str">
        <f>IF($A198="","",IF($O198="", "", ROUND($O198*Settings!$B$2+Settings!$B$3,2)))</f>
        <v/>
      </c>
      <c r="R198" s="9" t="str">
        <f>IF($A198="","",IF($L198="", "", Settings!$B$4))</f>
        <v/>
      </c>
      <c r="S198" s="9" t="str">
        <f t="shared" si="29"/>
        <v/>
      </c>
      <c r="T198" s="9" t="str">
        <f t="shared" si="30"/>
        <v/>
      </c>
      <c r="U198" s="9" t="str">
        <f>IF($A198="","",IF($K198="", "", ROUND((($K198 + Settings!$B$3 + $R198) - IF($M198="",0,$M198))/(1-Settings!$B$2),2)))</f>
        <v/>
      </c>
      <c r="V198" s="9" t="str">
        <f>IF($A198="","",$L198-($L198*Settings!$B$2)-$J198-($B198+SUM($D198:$I198)))</f>
        <v/>
      </c>
      <c r="W198" s="9" t="str">
        <f>IF($A198="","",(($B198+SUM($D198:$I198)+$J198+Settings!$B$3)/(1-Settings!$B$2))-$M198)</f>
        <v/>
      </c>
      <c r="X198" s="10" t="str">
        <f t="shared" si="31"/>
        <v/>
      </c>
      <c r="Y198" s="10" t="str">
        <f t="shared" si="32"/>
        <v/>
      </c>
      <c r="Z198" s="10" t="str">
        <f t="shared" si="33"/>
        <v/>
      </c>
      <c r="AA198" s="10" t="str">
        <f t="shared" si="34"/>
        <v/>
      </c>
      <c r="AC198" s="11"/>
      <c r="AD198" s="11"/>
      <c r="AE198" s="12" t="str">
        <f t="shared" si="35"/>
        <v/>
      </c>
    </row>
    <row r="199" spans="2:31" x14ac:dyDescent="0.25">
      <c r="B199" s="9"/>
      <c r="C199" t="s">
        <v>31</v>
      </c>
      <c r="D199" s="9" t="str">
        <f>IF($A199="","",1*'Material Costs'!$D$3)</f>
        <v/>
      </c>
      <c r="E199" s="9" t="str">
        <f>IF($A199="","",1*'Material Costs'!$D$2)</f>
        <v/>
      </c>
      <c r="F199" s="9" t="str">
        <f>IF($A199="","",IF($C199="Bubble Mailer",2,1)*'Material Costs'!$D$6)</f>
        <v/>
      </c>
      <c r="G199" s="9" t="str">
        <f>IF($A199="","",1*'Material Costs'!$D$7)</f>
        <v/>
      </c>
      <c r="H199" s="9" t="str">
        <f>IF($A199="","",IF($C199="Bubble Mailer",1,0)*'Material Costs'!$D$5)</f>
        <v/>
      </c>
      <c r="I199" s="9" t="str">
        <f>IF($A199="","",IF($C199="ESE (Ding Defend)",1,0)*'Material Costs'!$D$4)</f>
        <v/>
      </c>
      <c r="J199" s="9"/>
      <c r="K199" s="9" t="str">
        <f t="shared" si="27"/>
        <v/>
      </c>
      <c r="L199" s="9"/>
      <c r="M199" s="9"/>
      <c r="N199" s="9"/>
      <c r="O199" s="9" t="str">
        <f t="shared" si="28"/>
        <v/>
      </c>
      <c r="P199" s="9"/>
      <c r="Q199" s="9" t="str">
        <f>IF($A199="","",IF($O199="", "", ROUND($O199*Settings!$B$2+Settings!$B$3,2)))</f>
        <v/>
      </c>
      <c r="R199" s="9" t="str">
        <f>IF($A199="","",IF($L199="", "", Settings!$B$4))</f>
        <v/>
      </c>
      <c r="S199" s="9" t="str">
        <f t="shared" si="29"/>
        <v/>
      </c>
      <c r="T199" s="9" t="str">
        <f t="shared" si="30"/>
        <v/>
      </c>
      <c r="U199" s="9" t="str">
        <f>IF($A199="","",IF($K199="", "", ROUND((($K199 + Settings!$B$3 + $R199) - IF($M199="",0,$M199))/(1-Settings!$B$2),2)))</f>
        <v/>
      </c>
      <c r="V199" s="9" t="str">
        <f>IF($A199="","",$L199-($L199*Settings!$B$2)-$J199-($B199+SUM($D199:$I199)))</f>
        <v/>
      </c>
      <c r="W199" s="9" t="str">
        <f>IF($A199="","",(($B199+SUM($D199:$I199)+$J199+Settings!$B$3)/(1-Settings!$B$2))-$M199)</f>
        <v/>
      </c>
      <c r="X199" s="10" t="str">
        <f t="shared" si="31"/>
        <v/>
      </c>
      <c r="Y199" s="10" t="str">
        <f t="shared" si="32"/>
        <v/>
      </c>
      <c r="Z199" s="10" t="str">
        <f t="shared" si="33"/>
        <v/>
      </c>
      <c r="AA199" s="10" t="str">
        <f t="shared" si="34"/>
        <v/>
      </c>
      <c r="AC199" s="11"/>
      <c r="AD199" s="11"/>
      <c r="AE199" s="12" t="str">
        <f t="shared" si="35"/>
        <v/>
      </c>
    </row>
    <row r="200" spans="2:31" x14ac:dyDescent="0.25">
      <c r="B200" s="9"/>
      <c r="C200" t="s">
        <v>31</v>
      </c>
      <c r="D200" s="9" t="str">
        <f>IF($A200="","",1*'Material Costs'!$D$3)</f>
        <v/>
      </c>
      <c r="E200" s="9" t="str">
        <f>IF($A200="","",1*'Material Costs'!$D$2)</f>
        <v/>
      </c>
      <c r="F200" s="9" t="str">
        <f>IF($A200="","",IF($C200="Bubble Mailer",2,1)*'Material Costs'!$D$6)</f>
        <v/>
      </c>
      <c r="G200" s="9" t="str">
        <f>IF($A200="","",1*'Material Costs'!$D$7)</f>
        <v/>
      </c>
      <c r="H200" s="9" t="str">
        <f>IF($A200="","",IF($C200="Bubble Mailer",1,0)*'Material Costs'!$D$5)</f>
        <v/>
      </c>
      <c r="I200" s="9" t="str">
        <f>IF($A200="","",IF($C200="ESE (Ding Defend)",1,0)*'Material Costs'!$D$4)</f>
        <v/>
      </c>
      <c r="J200" s="9"/>
      <c r="K200" s="9" t="str">
        <f t="shared" si="27"/>
        <v/>
      </c>
      <c r="L200" s="9"/>
      <c r="M200" s="9"/>
      <c r="N200" s="9"/>
      <c r="O200" s="9" t="str">
        <f t="shared" si="28"/>
        <v/>
      </c>
      <c r="P200" s="9"/>
      <c r="Q200" s="9" t="str">
        <f>IF($A200="","",IF($O200="", "", ROUND($O200*Settings!$B$2+Settings!$B$3,2)))</f>
        <v/>
      </c>
      <c r="R200" s="9" t="str">
        <f>IF($A200="","",IF($L200="", "", Settings!$B$4))</f>
        <v/>
      </c>
      <c r="S200" s="9" t="str">
        <f t="shared" si="29"/>
        <v/>
      </c>
      <c r="T200" s="9" t="str">
        <f t="shared" si="30"/>
        <v/>
      </c>
      <c r="U200" s="9" t="str">
        <f>IF($A200="","",IF($K200="", "", ROUND((($K200 + Settings!$B$3 + $R200) - IF($M200="",0,$M200))/(1-Settings!$B$2),2)))</f>
        <v/>
      </c>
      <c r="V200" s="9" t="str">
        <f>IF($A200="","",$L200-($L200*Settings!$B$2)-$J200-($B200+SUM($D200:$I200)))</f>
        <v/>
      </c>
      <c r="W200" s="9" t="str">
        <f>IF($A200="","",(($B200+SUM($D200:$I200)+$J200+Settings!$B$3)/(1-Settings!$B$2))-$M200)</f>
        <v/>
      </c>
      <c r="X200" s="10" t="str">
        <f t="shared" si="31"/>
        <v/>
      </c>
      <c r="Y200" s="10" t="str">
        <f t="shared" si="32"/>
        <v/>
      </c>
      <c r="Z200" s="10" t="str">
        <f t="shared" si="33"/>
        <v/>
      </c>
      <c r="AA200" s="10" t="str">
        <f t="shared" si="34"/>
        <v/>
      </c>
      <c r="AC200" s="11"/>
      <c r="AD200" s="11"/>
      <c r="AE200" s="12" t="str">
        <f t="shared" si="35"/>
        <v/>
      </c>
    </row>
    <row r="201" spans="2:31" x14ac:dyDescent="0.25">
      <c r="B201" s="9"/>
      <c r="C201" t="s">
        <v>31</v>
      </c>
      <c r="D201" s="9" t="str">
        <f>IF($A201="","",1*'Material Costs'!$D$3)</f>
        <v/>
      </c>
      <c r="E201" s="9" t="str">
        <f>IF($A201="","",1*'Material Costs'!$D$2)</f>
        <v/>
      </c>
      <c r="F201" s="9" t="str">
        <f>IF($A201="","",IF($C201="Bubble Mailer",2,1)*'Material Costs'!$D$6)</f>
        <v/>
      </c>
      <c r="G201" s="9" t="str">
        <f>IF($A201="","",1*'Material Costs'!$D$7)</f>
        <v/>
      </c>
      <c r="H201" s="9" t="str">
        <f>IF($A201="","",IF($C201="Bubble Mailer",1,0)*'Material Costs'!$D$5)</f>
        <v/>
      </c>
      <c r="I201" s="9" t="str">
        <f>IF($A201="","",IF($C201="ESE (Ding Defend)",1,0)*'Material Costs'!$D$4)</f>
        <v/>
      </c>
      <c r="J201" s="9"/>
      <c r="K201" s="9" t="str">
        <f t="shared" si="27"/>
        <v/>
      </c>
      <c r="L201" s="9"/>
      <c r="M201" s="9"/>
      <c r="N201" s="9"/>
      <c r="O201" s="9" t="str">
        <f t="shared" si="28"/>
        <v/>
      </c>
      <c r="P201" s="9"/>
      <c r="Q201" s="9" t="str">
        <f>IF($A201="","",IF($O201="", "", ROUND($O201*Settings!$B$2+Settings!$B$3,2)))</f>
        <v/>
      </c>
      <c r="R201" s="9" t="str">
        <f>IF($A201="","",IF($L201="", "", Settings!$B$4))</f>
        <v/>
      </c>
      <c r="S201" s="9" t="str">
        <f t="shared" si="29"/>
        <v/>
      </c>
      <c r="T201" s="9" t="str">
        <f t="shared" si="30"/>
        <v/>
      </c>
      <c r="U201" s="9" t="str">
        <f>IF($A201="","",IF($K201="", "", ROUND((($K201 + Settings!$B$3 + $R201) - IF($M201="",0,$M201))/(1-Settings!$B$2),2)))</f>
        <v/>
      </c>
      <c r="V201" s="9" t="str">
        <f>IF($A201="","",$L201-($L201*Settings!$B$2)-$J201-($B201+SUM($D201:$I201)))</f>
        <v/>
      </c>
      <c r="W201" s="9" t="str">
        <f>IF($A201="","",(($B201+SUM($D201:$I201)+$J201+Settings!$B$3)/(1-Settings!$B$2))-$M201)</f>
        <v/>
      </c>
      <c r="X201" s="10" t="str">
        <f t="shared" si="31"/>
        <v/>
      </c>
      <c r="Y201" s="10" t="str">
        <f t="shared" si="32"/>
        <v/>
      </c>
      <c r="Z201" s="10" t="str">
        <f t="shared" si="33"/>
        <v/>
      </c>
      <c r="AA201" s="10" t="str">
        <f t="shared" si="34"/>
        <v/>
      </c>
      <c r="AC201" s="11"/>
      <c r="AD201" s="11"/>
      <c r="AE201" s="12" t="str">
        <f t="shared" si="35"/>
        <v/>
      </c>
    </row>
    <row r="202" spans="2:31" x14ac:dyDescent="0.25">
      <c r="B202" s="9"/>
      <c r="C202" t="s">
        <v>31</v>
      </c>
      <c r="D202" s="9" t="str">
        <f>IF($A202="","",1*'Material Costs'!$D$3)</f>
        <v/>
      </c>
      <c r="E202" s="9" t="str">
        <f>IF($A202="","",1*'Material Costs'!$D$2)</f>
        <v/>
      </c>
      <c r="F202" s="9" t="str">
        <f>IF($A202="","",IF($C202="Bubble Mailer",2,1)*'Material Costs'!$D$6)</f>
        <v/>
      </c>
      <c r="G202" s="9" t="str">
        <f>IF($A202="","",1*'Material Costs'!$D$7)</f>
        <v/>
      </c>
      <c r="H202" s="9" t="str">
        <f>IF($A202="","",IF($C202="Bubble Mailer",1,0)*'Material Costs'!$D$5)</f>
        <v/>
      </c>
      <c r="I202" s="9" t="str">
        <f>IF($A202="","",IF($C202="ESE (Ding Defend)",1,0)*'Material Costs'!$D$4)</f>
        <v/>
      </c>
      <c r="J202" s="9"/>
      <c r="K202" s="9" t="str">
        <f t="shared" si="27"/>
        <v/>
      </c>
      <c r="L202" s="9"/>
      <c r="M202" s="9"/>
      <c r="N202" s="9"/>
      <c r="O202" s="9" t="str">
        <f t="shared" si="28"/>
        <v/>
      </c>
      <c r="P202" s="9"/>
      <c r="Q202" s="9" t="str">
        <f>IF($A202="","",IF($O202="", "", ROUND($O202*Settings!$B$2+Settings!$B$3,2)))</f>
        <v/>
      </c>
      <c r="R202" s="9" t="str">
        <f>IF($A202="","",IF($L202="", "", Settings!$B$4))</f>
        <v/>
      </c>
      <c r="S202" s="9" t="str">
        <f t="shared" si="29"/>
        <v/>
      </c>
      <c r="T202" s="9" t="str">
        <f t="shared" si="30"/>
        <v/>
      </c>
      <c r="U202" s="9" t="str">
        <f>IF($A202="","",IF($K202="", "", ROUND((($K202 + Settings!$B$3 + $R202) - IF($M202="",0,$M202))/(1-Settings!$B$2),2)))</f>
        <v/>
      </c>
      <c r="V202" s="9" t="str">
        <f>IF($A202="","",$L202-($L202*Settings!$B$2)-$J202-($B202+SUM($D202:$I202)))</f>
        <v/>
      </c>
      <c r="W202" s="9" t="str">
        <f>IF($A202="","",(($B202+SUM($D202:$I202)+$J202+Settings!$B$3)/(1-Settings!$B$2))-$M202)</f>
        <v/>
      </c>
      <c r="X202" s="10" t="str">
        <f t="shared" si="31"/>
        <v/>
      </c>
      <c r="Y202" s="10" t="str">
        <f t="shared" si="32"/>
        <v/>
      </c>
      <c r="Z202" s="10" t="str">
        <f t="shared" si="33"/>
        <v/>
      </c>
      <c r="AA202" s="10" t="str">
        <f t="shared" si="34"/>
        <v/>
      </c>
      <c r="AC202" s="11"/>
      <c r="AD202" s="11"/>
      <c r="AE202" s="12" t="str">
        <f t="shared" si="35"/>
        <v/>
      </c>
    </row>
    <row r="203" spans="2:31" x14ac:dyDescent="0.25">
      <c r="B203" s="9"/>
      <c r="C203" t="s">
        <v>31</v>
      </c>
      <c r="D203" s="9" t="str">
        <f>IF($A203="","",1*'Material Costs'!$D$3)</f>
        <v/>
      </c>
      <c r="E203" s="9" t="str">
        <f>IF($A203="","",1*'Material Costs'!$D$2)</f>
        <v/>
      </c>
      <c r="F203" s="9" t="str">
        <f>IF($A203="","",IF($C203="Bubble Mailer",2,1)*'Material Costs'!$D$6)</f>
        <v/>
      </c>
      <c r="G203" s="9" t="str">
        <f>IF($A203="","",1*'Material Costs'!$D$7)</f>
        <v/>
      </c>
      <c r="H203" s="9" t="str">
        <f>IF($A203="","",IF($C203="Bubble Mailer",1,0)*'Material Costs'!$D$5)</f>
        <v/>
      </c>
      <c r="I203" s="9" t="str">
        <f>IF($A203="","",IF($C203="ESE (Ding Defend)",1,0)*'Material Costs'!$D$4)</f>
        <v/>
      </c>
      <c r="J203" s="9"/>
      <c r="K203" s="9" t="str">
        <f t="shared" si="27"/>
        <v/>
      </c>
      <c r="L203" s="9"/>
      <c r="M203" s="9"/>
      <c r="N203" s="9"/>
      <c r="O203" s="9" t="str">
        <f t="shared" si="28"/>
        <v/>
      </c>
      <c r="P203" s="9"/>
      <c r="Q203" s="9" t="str">
        <f>IF($A203="","",IF($O203="", "", ROUND($O203*Settings!$B$2+Settings!$B$3,2)))</f>
        <v/>
      </c>
      <c r="R203" s="9" t="str">
        <f>IF($A203="","",IF($L203="", "", Settings!$B$4))</f>
        <v/>
      </c>
      <c r="S203" s="9" t="str">
        <f t="shared" si="29"/>
        <v/>
      </c>
      <c r="T203" s="9" t="str">
        <f t="shared" si="30"/>
        <v/>
      </c>
      <c r="U203" s="9" t="str">
        <f>IF($A203="","",IF($K203="", "", ROUND((($K203 + Settings!$B$3 + $R203) - IF($M203="",0,$M203))/(1-Settings!$B$2),2)))</f>
        <v/>
      </c>
      <c r="V203" s="9" t="str">
        <f>IF($A203="","",$L203-($L203*Settings!$B$2)-$J203-($B203+SUM($D203:$I203)))</f>
        <v/>
      </c>
      <c r="W203" s="9" t="str">
        <f>IF($A203="","",(($B203+SUM($D203:$I203)+$J203+Settings!$B$3)/(1-Settings!$B$2))-$M203)</f>
        <v/>
      </c>
      <c r="X203" s="10" t="str">
        <f t="shared" si="31"/>
        <v/>
      </c>
      <c r="Y203" s="10" t="str">
        <f t="shared" si="32"/>
        <v/>
      </c>
      <c r="Z203" s="10" t="str">
        <f t="shared" si="33"/>
        <v/>
      </c>
      <c r="AA203" s="10" t="str">
        <f t="shared" si="34"/>
        <v/>
      </c>
      <c r="AC203" s="11"/>
      <c r="AD203" s="11"/>
      <c r="AE203" s="12" t="str">
        <f t="shared" si="35"/>
        <v/>
      </c>
    </row>
    <row r="204" spans="2:31" x14ac:dyDescent="0.25">
      <c r="B204" s="9"/>
      <c r="C204" t="s">
        <v>31</v>
      </c>
      <c r="D204" s="9" t="str">
        <f>IF($A204="","",1*'Material Costs'!$D$3)</f>
        <v/>
      </c>
      <c r="E204" s="9" t="str">
        <f>IF($A204="","",1*'Material Costs'!$D$2)</f>
        <v/>
      </c>
      <c r="F204" s="9" t="str">
        <f>IF($A204="","",IF($C204="Bubble Mailer",2,1)*'Material Costs'!$D$6)</f>
        <v/>
      </c>
      <c r="G204" s="9" t="str">
        <f>IF($A204="","",1*'Material Costs'!$D$7)</f>
        <v/>
      </c>
      <c r="H204" s="9" t="str">
        <f>IF($A204="","",IF($C204="Bubble Mailer",1,0)*'Material Costs'!$D$5)</f>
        <v/>
      </c>
      <c r="I204" s="9" t="str">
        <f>IF($A204="","",IF($C204="ESE (Ding Defend)",1,0)*'Material Costs'!$D$4)</f>
        <v/>
      </c>
      <c r="J204" s="9"/>
      <c r="K204" s="9" t="str">
        <f t="shared" si="27"/>
        <v/>
      </c>
      <c r="L204" s="9"/>
      <c r="M204" s="9"/>
      <c r="N204" s="9"/>
      <c r="O204" s="9" t="str">
        <f t="shared" si="28"/>
        <v/>
      </c>
      <c r="P204" s="9"/>
      <c r="Q204" s="9" t="str">
        <f>IF($A204="","",IF($O204="", "", ROUND($O204*Settings!$B$2+Settings!$B$3,2)))</f>
        <v/>
      </c>
      <c r="R204" s="9" t="str">
        <f>IF($A204="","",IF($L204="", "", Settings!$B$4))</f>
        <v/>
      </c>
      <c r="S204" s="9" t="str">
        <f t="shared" si="29"/>
        <v/>
      </c>
      <c r="T204" s="9" t="str">
        <f t="shared" si="30"/>
        <v/>
      </c>
      <c r="U204" s="9" t="str">
        <f>IF($A204="","",IF($K204="", "", ROUND((($K204 + Settings!$B$3 + $R204) - IF($M204="",0,$M204))/(1-Settings!$B$2),2)))</f>
        <v/>
      </c>
      <c r="V204" s="9" t="str">
        <f>IF($A204="","",$L204-($L204*Settings!$B$2)-$J204-($B204+SUM($D204:$I204)))</f>
        <v/>
      </c>
      <c r="W204" s="9" t="str">
        <f>IF($A204="","",(($B204+SUM($D204:$I204)+$J204+Settings!$B$3)/(1-Settings!$B$2))-$M204)</f>
        <v/>
      </c>
      <c r="X204" s="10" t="str">
        <f t="shared" si="31"/>
        <v/>
      </c>
      <c r="Y204" s="10" t="str">
        <f t="shared" si="32"/>
        <v/>
      </c>
      <c r="Z204" s="10" t="str">
        <f t="shared" si="33"/>
        <v/>
      </c>
      <c r="AA204" s="10" t="str">
        <f t="shared" si="34"/>
        <v/>
      </c>
      <c r="AC204" s="11"/>
      <c r="AD204" s="11"/>
      <c r="AE204" s="12" t="str">
        <f t="shared" si="35"/>
        <v/>
      </c>
    </row>
    <row r="205" spans="2:31" x14ac:dyDescent="0.25">
      <c r="B205" s="9"/>
      <c r="C205" t="s">
        <v>31</v>
      </c>
      <c r="D205" s="9" t="str">
        <f>IF($A205="","",1*'Material Costs'!$D$3)</f>
        <v/>
      </c>
      <c r="E205" s="9" t="str">
        <f>IF($A205="","",1*'Material Costs'!$D$2)</f>
        <v/>
      </c>
      <c r="F205" s="9" t="str">
        <f>IF($A205="","",IF($C205="Bubble Mailer",2,1)*'Material Costs'!$D$6)</f>
        <v/>
      </c>
      <c r="G205" s="9" t="str">
        <f>IF($A205="","",1*'Material Costs'!$D$7)</f>
        <v/>
      </c>
      <c r="H205" s="9" t="str">
        <f>IF($A205="","",IF($C205="Bubble Mailer",1,0)*'Material Costs'!$D$5)</f>
        <v/>
      </c>
      <c r="I205" s="9" t="str">
        <f>IF($A205="","",IF($C205="ESE (Ding Defend)",1,0)*'Material Costs'!$D$4)</f>
        <v/>
      </c>
      <c r="J205" s="9"/>
      <c r="K205" s="9" t="str">
        <f t="shared" si="27"/>
        <v/>
      </c>
      <c r="L205" s="9"/>
      <c r="M205" s="9"/>
      <c r="N205" s="9"/>
      <c r="O205" s="9" t="str">
        <f t="shared" si="28"/>
        <v/>
      </c>
      <c r="P205" s="9"/>
      <c r="Q205" s="9" t="str">
        <f>IF($A205="","",IF($O205="", "", ROUND($O205*Settings!$B$2+Settings!$B$3,2)))</f>
        <v/>
      </c>
      <c r="R205" s="9" t="str">
        <f>IF($A205="","",IF($L205="", "", Settings!$B$4))</f>
        <v/>
      </c>
      <c r="S205" s="9" t="str">
        <f t="shared" si="29"/>
        <v/>
      </c>
      <c r="T205" s="9" t="str">
        <f t="shared" si="30"/>
        <v/>
      </c>
      <c r="U205" s="9" t="str">
        <f>IF($A205="","",IF($K205="", "", ROUND((($K205 + Settings!$B$3 + $R205) - IF($M205="",0,$M205))/(1-Settings!$B$2),2)))</f>
        <v/>
      </c>
      <c r="V205" s="9" t="str">
        <f>IF($A205="","",$L205-($L205*Settings!$B$2)-$J205-($B205+SUM($D205:$I205)))</f>
        <v/>
      </c>
      <c r="W205" s="9" t="str">
        <f>IF($A205="","",(($B205+SUM($D205:$I205)+$J205+Settings!$B$3)/(1-Settings!$B$2))-$M205)</f>
        <v/>
      </c>
      <c r="X205" s="10" t="str">
        <f t="shared" si="31"/>
        <v/>
      </c>
      <c r="Y205" s="10" t="str">
        <f t="shared" si="32"/>
        <v/>
      </c>
      <c r="Z205" s="10" t="str">
        <f t="shared" si="33"/>
        <v/>
      </c>
      <c r="AA205" s="10" t="str">
        <f t="shared" si="34"/>
        <v/>
      </c>
      <c r="AC205" s="11"/>
      <c r="AD205" s="11"/>
      <c r="AE205" s="12" t="str">
        <f t="shared" si="35"/>
        <v/>
      </c>
    </row>
    <row r="206" spans="2:31" x14ac:dyDescent="0.25">
      <c r="B206" s="9"/>
      <c r="C206" t="s">
        <v>31</v>
      </c>
      <c r="D206" s="9" t="str">
        <f>IF($A206="","",1*'Material Costs'!$D$3)</f>
        <v/>
      </c>
      <c r="E206" s="9" t="str">
        <f>IF($A206="","",1*'Material Costs'!$D$2)</f>
        <v/>
      </c>
      <c r="F206" s="9" t="str">
        <f>IF($A206="","",IF($C206="Bubble Mailer",2,1)*'Material Costs'!$D$6)</f>
        <v/>
      </c>
      <c r="G206" s="9" t="str">
        <f>IF($A206="","",1*'Material Costs'!$D$7)</f>
        <v/>
      </c>
      <c r="H206" s="9" t="str">
        <f>IF($A206="","",IF($C206="Bubble Mailer",1,0)*'Material Costs'!$D$5)</f>
        <v/>
      </c>
      <c r="I206" s="9" t="str">
        <f>IF($A206="","",IF($C206="ESE (Ding Defend)",1,0)*'Material Costs'!$D$4)</f>
        <v/>
      </c>
      <c r="J206" s="9"/>
      <c r="K206" s="9" t="str">
        <f t="shared" si="27"/>
        <v/>
      </c>
      <c r="L206" s="9"/>
      <c r="M206" s="9"/>
      <c r="N206" s="9"/>
      <c r="O206" s="9" t="str">
        <f t="shared" si="28"/>
        <v/>
      </c>
      <c r="P206" s="9"/>
      <c r="Q206" s="9" t="str">
        <f>IF($A206="","",IF($O206="", "", ROUND($O206*Settings!$B$2+Settings!$B$3,2)))</f>
        <v/>
      </c>
      <c r="R206" s="9" t="str">
        <f>IF($A206="","",IF($L206="", "", Settings!$B$4))</f>
        <v/>
      </c>
      <c r="S206" s="9" t="str">
        <f t="shared" si="29"/>
        <v/>
      </c>
      <c r="T206" s="9" t="str">
        <f t="shared" si="30"/>
        <v/>
      </c>
      <c r="U206" s="9" t="str">
        <f>IF($A206="","",IF($K206="", "", ROUND((($K206 + Settings!$B$3 + $R206) - IF($M206="",0,$M206))/(1-Settings!$B$2),2)))</f>
        <v/>
      </c>
      <c r="V206" s="9" t="str">
        <f>IF($A206="","",$L206-($L206*Settings!$B$2)-$J206-($B206+SUM($D206:$I206)))</f>
        <v/>
      </c>
      <c r="W206" s="9" t="str">
        <f>IF($A206="","",(($B206+SUM($D206:$I206)+$J206+Settings!$B$3)/(1-Settings!$B$2))-$M206)</f>
        <v/>
      </c>
      <c r="X206" s="10" t="str">
        <f t="shared" si="31"/>
        <v/>
      </c>
      <c r="Y206" s="10" t="str">
        <f t="shared" si="32"/>
        <v/>
      </c>
      <c r="Z206" s="10" t="str">
        <f t="shared" si="33"/>
        <v/>
      </c>
      <c r="AA206" s="10" t="str">
        <f t="shared" si="34"/>
        <v/>
      </c>
      <c r="AC206" s="11"/>
      <c r="AD206" s="11"/>
      <c r="AE206" s="12" t="str">
        <f t="shared" si="35"/>
        <v/>
      </c>
    </row>
    <row r="207" spans="2:31" x14ac:dyDescent="0.25">
      <c r="B207" s="9"/>
      <c r="C207" t="s">
        <v>31</v>
      </c>
      <c r="D207" s="9" t="str">
        <f>IF($A207="","",1*'Material Costs'!$D$3)</f>
        <v/>
      </c>
      <c r="E207" s="9" t="str">
        <f>IF($A207="","",1*'Material Costs'!$D$2)</f>
        <v/>
      </c>
      <c r="F207" s="9" t="str">
        <f>IF($A207="","",IF($C207="Bubble Mailer",2,1)*'Material Costs'!$D$6)</f>
        <v/>
      </c>
      <c r="G207" s="9" t="str">
        <f>IF($A207="","",1*'Material Costs'!$D$7)</f>
        <v/>
      </c>
      <c r="H207" s="9" t="str">
        <f>IF($A207="","",IF($C207="Bubble Mailer",1,0)*'Material Costs'!$D$5)</f>
        <v/>
      </c>
      <c r="I207" s="9" t="str">
        <f>IF($A207="","",IF($C207="ESE (Ding Defend)",1,0)*'Material Costs'!$D$4)</f>
        <v/>
      </c>
      <c r="J207" s="9"/>
      <c r="K207" s="9" t="str">
        <f t="shared" si="27"/>
        <v/>
      </c>
      <c r="L207" s="9"/>
      <c r="M207" s="9"/>
      <c r="N207" s="9"/>
      <c r="O207" s="9" t="str">
        <f t="shared" si="28"/>
        <v/>
      </c>
      <c r="P207" s="9"/>
      <c r="Q207" s="9" t="str">
        <f>IF($A207="","",IF($O207="", "", ROUND($O207*Settings!$B$2+Settings!$B$3,2)))</f>
        <v/>
      </c>
      <c r="R207" s="9" t="str">
        <f>IF($A207="","",IF($L207="", "", Settings!$B$4))</f>
        <v/>
      </c>
      <c r="S207" s="9" t="str">
        <f t="shared" si="29"/>
        <v/>
      </c>
      <c r="T207" s="9" t="str">
        <f t="shared" si="30"/>
        <v/>
      </c>
      <c r="U207" s="9" t="str">
        <f>IF($A207="","",IF($K207="", "", ROUND((($K207 + Settings!$B$3 + $R207) - IF($M207="",0,$M207))/(1-Settings!$B$2),2)))</f>
        <v/>
      </c>
      <c r="V207" s="9" t="str">
        <f>IF($A207="","",$L207-($L207*Settings!$B$2)-$J207-($B207+SUM($D207:$I207)))</f>
        <v/>
      </c>
      <c r="W207" s="9" t="str">
        <f>IF($A207="","",(($B207+SUM($D207:$I207)+$J207+Settings!$B$3)/(1-Settings!$B$2))-$M207)</f>
        <v/>
      </c>
      <c r="X207" s="10" t="str">
        <f t="shared" si="31"/>
        <v/>
      </c>
      <c r="Y207" s="10" t="str">
        <f t="shared" si="32"/>
        <v/>
      </c>
      <c r="Z207" s="10" t="str">
        <f t="shared" si="33"/>
        <v/>
      </c>
      <c r="AA207" s="10" t="str">
        <f t="shared" si="34"/>
        <v/>
      </c>
      <c r="AC207" s="11"/>
      <c r="AD207" s="11"/>
      <c r="AE207" s="12" t="str">
        <f t="shared" si="35"/>
        <v/>
      </c>
    </row>
    <row r="208" spans="2:31" x14ac:dyDescent="0.25">
      <c r="B208" s="9"/>
      <c r="C208" t="s">
        <v>31</v>
      </c>
      <c r="D208" s="9" t="str">
        <f>IF($A208="","",1*'Material Costs'!$D$3)</f>
        <v/>
      </c>
      <c r="E208" s="9" t="str">
        <f>IF($A208="","",1*'Material Costs'!$D$2)</f>
        <v/>
      </c>
      <c r="F208" s="9" t="str">
        <f>IF($A208="","",IF($C208="Bubble Mailer",2,1)*'Material Costs'!$D$6)</f>
        <v/>
      </c>
      <c r="G208" s="9" t="str">
        <f>IF($A208="","",1*'Material Costs'!$D$7)</f>
        <v/>
      </c>
      <c r="H208" s="9" t="str">
        <f>IF($A208="","",IF($C208="Bubble Mailer",1,0)*'Material Costs'!$D$5)</f>
        <v/>
      </c>
      <c r="I208" s="9" t="str">
        <f>IF($A208="","",IF($C208="ESE (Ding Defend)",1,0)*'Material Costs'!$D$4)</f>
        <v/>
      </c>
      <c r="J208" s="9"/>
      <c r="K208" s="9" t="str">
        <f t="shared" si="27"/>
        <v/>
      </c>
      <c r="L208" s="9"/>
      <c r="M208" s="9"/>
      <c r="N208" s="9"/>
      <c r="O208" s="9" t="str">
        <f t="shared" si="28"/>
        <v/>
      </c>
      <c r="P208" s="9"/>
      <c r="Q208" s="9" t="str">
        <f>IF($A208="","",IF($O208="", "", ROUND($O208*Settings!$B$2+Settings!$B$3,2)))</f>
        <v/>
      </c>
      <c r="R208" s="9" t="str">
        <f>IF($A208="","",IF($L208="", "", Settings!$B$4))</f>
        <v/>
      </c>
      <c r="S208" s="9" t="str">
        <f t="shared" si="29"/>
        <v/>
      </c>
      <c r="T208" s="9" t="str">
        <f t="shared" si="30"/>
        <v/>
      </c>
      <c r="U208" s="9" t="str">
        <f>IF($A208="","",IF($K208="", "", ROUND((($K208 + Settings!$B$3 + $R208) - IF($M208="",0,$M208))/(1-Settings!$B$2),2)))</f>
        <v/>
      </c>
      <c r="V208" s="9" t="str">
        <f>IF($A208="","",$L208-($L208*Settings!$B$2)-$J208-($B208+SUM($D208:$I208)))</f>
        <v/>
      </c>
      <c r="W208" s="9" t="str">
        <f>IF($A208="","",(($B208+SUM($D208:$I208)+$J208+Settings!$B$3)/(1-Settings!$B$2))-$M208)</f>
        <v/>
      </c>
      <c r="X208" s="10" t="str">
        <f t="shared" si="31"/>
        <v/>
      </c>
      <c r="Y208" s="10" t="str">
        <f t="shared" si="32"/>
        <v/>
      </c>
      <c r="Z208" s="10" t="str">
        <f t="shared" si="33"/>
        <v/>
      </c>
      <c r="AA208" s="10" t="str">
        <f t="shared" si="34"/>
        <v/>
      </c>
      <c r="AC208" s="11"/>
      <c r="AD208" s="11"/>
      <c r="AE208" s="12" t="str">
        <f t="shared" si="35"/>
        <v/>
      </c>
    </row>
    <row r="209" spans="2:31" x14ac:dyDescent="0.25">
      <c r="B209" s="9"/>
      <c r="C209" t="s">
        <v>31</v>
      </c>
      <c r="D209" s="9" t="str">
        <f>IF($A209="","",1*'Material Costs'!$D$3)</f>
        <v/>
      </c>
      <c r="E209" s="9" t="str">
        <f>IF($A209="","",1*'Material Costs'!$D$2)</f>
        <v/>
      </c>
      <c r="F209" s="9" t="str">
        <f>IF($A209="","",IF($C209="Bubble Mailer",2,1)*'Material Costs'!$D$6)</f>
        <v/>
      </c>
      <c r="G209" s="9" t="str">
        <f>IF($A209="","",1*'Material Costs'!$D$7)</f>
        <v/>
      </c>
      <c r="H209" s="9" t="str">
        <f>IF($A209="","",IF($C209="Bubble Mailer",1,0)*'Material Costs'!$D$5)</f>
        <v/>
      </c>
      <c r="I209" s="9" t="str">
        <f>IF($A209="","",IF($C209="ESE (Ding Defend)",1,0)*'Material Costs'!$D$4)</f>
        <v/>
      </c>
      <c r="J209" s="9"/>
      <c r="K209" s="9" t="str">
        <f t="shared" si="27"/>
        <v/>
      </c>
      <c r="L209" s="9"/>
      <c r="M209" s="9"/>
      <c r="N209" s="9"/>
      <c r="O209" s="9" t="str">
        <f t="shared" si="28"/>
        <v/>
      </c>
      <c r="P209" s="9"/>
      <c r="Q209" s="9" t="str">
        <f>IF($A209="","",IF($O209="", "", ROUND($O209*Settings!$B$2+Settings!$B$3,2)))</f>
        <v/>
      </c>
      <c r="R209" s="9" t="str">
        <f>IF($A209="","",IF($L209="", "", Settings!$B$4))</f>
        <v/>
      </c>
      <c r="S209" s="9" t="str">
        <f t="shared" si="29"/>
        <v/>
      </c>
      <c r="T209" s="9" t="str">
        <f t="shared" si="30"/>
        <v/>
      </c>
      <c r="U209" s="9" t="str">
        <f>IF($A209="","",IF($K209="", "", ROUND((($K209 + Settings!$B$3 + $R209) - IF($M209="",0,$M209))/(1-Settings!$B$2),2)))</f>
        <v/>
      </c>
      <c r="V209" s="9" t="str">
        <f>IF($A209="","",$L209-($L209*Settings!$B$2)-$J209-($B209+SUM($D209:$I209)))</f>
        <v/>
      </c>
      <c r="W209" s="9" t="str">
        <f>IF($A209="","",(($B209+SUM($D209:$I209)+$J209+Settings!$B$3)/(1-Settings!$B$2))-$M209)</f>
        <v/>
      </c>
      <c r="X209" s="10" t="str">
        <f t="shared" si="31"/>
        <v/>
      </c>
      <c r="Y209" s="10" t="str">
        <f t="shared" si="32"/>
        <v/>
      </c>
      <c r="Z209" s="10" t="str">
        <f t="shared" si="33"/>
        <v/>
      </c>
      <c r="AA209" s="10" t="str">
        <f t="shared" si="34"/>
        <v/>
      </c>
      <c r="AC209" s="11"/>
      <c r="AD209" s="11"/>
      <c r="AE209" s="12" t="str">
        <f t="shared" si="35"/>
        <v/>
      </c>
    </row>
    <row r="210" spans="2:31" x14ac:dyDescent="0.25">
      <c r="B210" s="9"/>
      <c r="C210" t="s">
        <v>31</v>
      </c>
      <c r="D210" s="9" t="str">
        <f>IF($A210="","",1*'Material Costs'!$D$3)</f>
        <v/>
      </c>
      <c r="E210" s="9" t="str">
        <f>IF($A210="","",1*'Material Costs'!$D$2)</f>
        <v/>
      </c>
      <c r="F210" s="9" t="str">
        <f>IF($A210="","",IF($C210="Bubble Mailer",2,1)*'Material Costs'!$D$6)</f>
        <v/>
      </c>
      <c r="G210" s="9" t="str">
        <f>IF($A210="","",1*'Material Costs'!$D$7)</f>
        <v/>
      </c>
      <c r="H210" s="9" t="str">
        <f>IF($A210="","",IF($C210="Bubble Mailer",1,0)*'Material Costs'!$D$5)</f>
        <v/>
      </c>
      <c r="I210" s="9" t="str">
        <f>IF($A210="","",IF($C210="ESE (Ding Defend)",1,0)*'Material Costs'!$D$4)</f>
        <v/>
      </c>
      <c r="J210" s="9"/>
      <c r="K210" s="9" t="str">
        <f t="shared" si="27"/>
        <v/>
      </c>
      <c r="L210" s="9"/>
      <c r="M210" s="9"/>
      <c r="N210" s="9"/>
      <c r="O210" s="9" t="str">
        <f t="shared" si="28"/>
        <v/>
      </c>
      <c r="P210" s="9"/>
      <c r="Q210" s="9" t="str">
        <f>IF($A210="","",IF($O210="", "", ROUND($O210*Settings!$B$2+Settings!$B$3,2)))</f>
        <v/>
      </c>
      <c r="R210" s="9" t="str">
        <f>IF($A210="","",IF($L210="", "", Settings!$B$4))</f>
        <v/>
      </c>
      <c r="S210" s="9" t="str">
        <f t="shared" si="29"/>
        <v/>
      </c>
      <c r="T210" s="9" t="str">
        <f t="shared" si="30"/>
        <v/>
      </c>
      <c r="U210" s="9" t="str">
        <f>IF($A210="","",IF($K210="", "", ROUND((($K210 + Settings!$B$3 + $R210) - IF($M210="",0,$M210))/(1-Settings!$B$2),2)))</f>
        <v/>
      </c>
      <c r="V210" s="9" t="str">
        <f>IF($A210="","",$L210-($L210*Settings!$B$2)-$J210-($B210+SUM($D210:$I210)))</f>
        <v/>
      </c>
      <c r="W210" s="9" t="str">
        <f>IF($A210="","",(($B210+SUM($D210:$I210)+$J210+Settings!$B$3)/(1-Settings!$B$2))-$M210)</f>
        <v/>
      </c>
      <c r="X210" s="10" t="str">
        <f t="shared" si="31"/>
        <v/>
      </c>
      <c r="Y210" s="10" t="str">
        <f t="shared" si="32"/>
        <v/>
      </c>
      <c r="Z210" s="10" t="str">
        <f t="shared" si="33"/>
        <v/>
      </c>
      <c r="AA210" s="10" t="str">
        <f t="shared" si="34"/>
        <v/>
      </c>
      <c r="AC210" s="11"/>
      <c r="AD210" s="11"/>
      <c r="AE210" s="12" t="str">
        <f t="shared" si="35"/>
        <v/>
      </c>
    </row>
    <row r="211" spans="2:31" x14ac:dyDescent="0.25">
      <c r="B211" s="9"/>
      <c r="C211" t="s">
        <v>31</v>
      </c>
      <c r="D211" s="9" t="str">
        <f>IF($A211="","",1*'Material Costs'!$D$3)</f>
        <v/>
      </c>
      <c r="E211" s="9" t="str">
        <f>IF($A211="","",1*'Material Costs'!$D$2)</f>
        <v/>
      </c>
      <c r="F211" s="9" t="str">
        <f>IF($A211="","",IF($C211="Bubble Mailer",2,1)*'Material Costs'!$D$6)</f>
        <v/>
      </c>
      <c r="G211" s="9" t="str">
        <f>IF($A211="","",1*'Material Costs'!$D$7)</f>
        <v/>
      </c>
      <c r="H211" s="9" t="str">
        <f>IF($A211="","",IF($C211="Bubble Mailer",1,0)*'Material Costs'!$D$5)</f>
        <v/>
      </c>
      <c r="I211" s="9" t="str">
        <f>IF($A211="","",IF($C211="ESE (Ding Defend)",1,0)*'Material Costs'!$D$4)</f>
        <v/>
      </c>
      <c r="J211" s="9"/>
      <c r="K211" s="9" t="str">
        <f t="shared" si="27"/>
        <v/>
      </c>
      <c r="L211" s="9"/>
      <c r="M211" s="9"/>
      <c r="N211" s="9"/>
      <c r="O211" s="9" t="str">
        <f t="shared" si="28"/>
        <v/>
      </c>
      <c r="P211" s="9"/>
      <c r="Q211" s="9" t="str">
        <f>IF($A211="","",IF($O211="", "", ROUND($O211*Settings!$B$2+Settings!$B$3,2)))</f>
        <v/>
      </c>
      <c r="R211" s="9" t="str">
        <f>IF($A211="","",IF($L211="", "", Settings!$B$4))</f>
        <v/>
      </c>
      <c r="S211" s="9" t="str">
        <f t="shared" si="29"/>
        <v/>
      </c>
      <c r="T211" s="9" t="str">
        <f t="shared" si="30"/>
        <v/>
      </c>
      <c r="U211" s="9" t="str">
        <f>IF($A211="","",IF($K211="", "", ROUND((($K211 + Settings!$B$3 + $R211) - IF($M211="",0,$M211))/(1-Settings!$B$2),2)))</f>
        <v/>
      </c>
      <c r="V211" s="9" t="str">
        <f>IF($A211="","",$L211-($L211*Settings!$B$2)-$J211-($B211+SUM($D211:$I211)))</f>
        <v/>
      </c>
      <c r="W211" s="9" t="str">
        <f>IF($A211="","",(($B211+SUM($D211:$I211)+$J211+Settings!$B$3)/(1-Settings!$B$2))-$M211)</f>
        <v/>
      </c>
      <c r="X211" s="10" t="str">
        <f t="shared" si="31"/>
        <v/>
      </c>
      <c r="Y211" s="10" t="str">
        <f t="shared" si="32"/>
        <v/>
      </c>
      <c r="Z211" s="10" t="str">
        <f t="shared" si="33"/>
        <v/>
      </c>
      <c r="AA211" s="10" t="str">
        <f t="shared" si="34"/>
        <v/>
      </c>
      <c r="AC211" s="11"/>
      <c r="AD211" s="11"/>
      <c r="AE211" s="12" t="str">
        <f t="shared" si="35"/>
        <v/>
      </c>
    </row>
    <row r="212" spans="2:31" x14ac:dyDescent="0.25">
      <c r="B212" s="9"/>
      <c r="C212" t="s">
        <v>31</v>
      </c>
      <c r="D212" s="9" t="str">
        <f>IF($A212="","",1*'Material Costs'!$D$3)</f>
        <v/>
      </c>
      <c r="E212" s="9" t="str">
        <f>IF($A212="","",1*'Material Costs'!$D$2)</f>
        <v/>
      </c>
      <c r="F212" s="9" t="str">
        <f>IF($A212="","",IF($C212="Bubble Mailer",2,1)*'Material Costs'!$D$6)</f>
        <v/>
      </c>
      <c r="G212" s="9" t="str">
        <f>IF($A212="","",1*'Material Costs'!$D$7)</f>
        <v/>
      </c>
      <c r="H212" s="9" t="str">
        <f>IF($A212="","",IF($C212="Bubble Mailer",1,0)*'Material Costs'!$D$5)</f>
        <v/>
      </c>
      <c r="I212" s="9" t="str">
        <f>IF($A212="","",IF($C212="ESE (Ding Defend)",1,0)*'Material Costs'!$D$4)</f>
        <v/>
      </c>
      <c r="J212" s="9"/>
      <c r="K212" s="9" t="str">
        <f t="shared" si="27"/>
        <v/>
      </c>
      <c r="L212" s="9"/>
      <c r="M212" s="9"/>
      <c r="N212" s="9"/>
      <c r="O212" s="9" t="str">
        <f t="shared" si="28"/>
        <v/>
      </c>
      <c r="P212" s="9"/>
      <c r="Q212" s="9" t="str">
        <f>IF($A212="","",IF($O212="", "", ROUND($O212*Settings!$B$2+Settings!$B$3,2)))</f>
        <v/>
      </c>
      <c r="R212" s="9" t="str">
        <f>IF($A212="","",IF($L212="", "", Settings!$B$4))</f>
        <v/>
      </c>
      <c r="S212" s="9" t="str">
        <f t="shared" si="29"/>
        <v/>
      </c>
      <c r="T212" s="9" t="str">
        <f t="shared" si="30"/>
        <v/>
      </c>
      <c r="U212" s="9" t="str">
        <f>IF($A212="","",IF($K212="", "", ROUND((($K212 + Settings!$B$3 + $R212) - IF($M212="",0,$M212))/(1-Settings!$B$2),2)))</f>
        <v/>
      </c>
      <c r="V212" s="9" t="str">
        <f>IF($A212="","",$L212-($L212*Settings!$B$2)-$J212-($B212+SUM($D212:$I212)))</f>
        <v/>
      </c>
      <c r="W212" s="9" t="str">
        <f>IF($A212="","",(($B212+SUM($D212:$I212)+$J212+Settings!$B$3)/(1-Settings!$B$2))-$M212)</f>
        <v/>
      </c>
      <c r="X212" s="10" t="str">
        <f t="shared" si="31"/>
        <v/>
      </c>
      <c r="Y212" s="10" t="str">
        <f t="shared" si="32"/>
        <v/>
      </c>
      <c r="Z212" s="10" t="str">
        <f t="shared" si="33"/>
        <v/>
      </c>
      <c r="AA212" s="10" t="str">
        <f t="shared" si="34"/>
        <v/>
      </c>
      <c r="AC212" s="11"/>
      <c r="AD212" s="11"/>
      <c r="AE212" s="12" t="str">
        <f t="shared" si="35"/>
        <v/>
      </c>
    </row>
    <row r="213" spans="2:31" x14ac:dyDescent="0.25">
      <c r="B213" s="9"/>
      <c r="C213" t="s">
        <v>31</v>
      </c>
      <c r="D213" s="9" t="str">
        <f>IF($A213="","",1*'Material Costs'!$D$3)</f>
        <v/>
      </c>
      <c r="E213" s="9" t="str">
        <f>IF($A213="","",1*'Material Costs'!$D$2)</f>
        <v/>
      </c>
      <c r="F213" s="9" t="str">
        <f>IF($A213="","",IF($C213="Bubble Mailer",2,1)*'Material Costs'!$D$6)</f>
        <v/>
      </c>
      <c r="G213" s="9" t="str">
        <f>IF($A213="","",1*'Material Costs'!$D$7)</f>
        <v/>
      </c>
      <c r="H213" s="9" t="str">
        <f>IF($A213="","",IF($C213="Bubble Mailer",1,0)*'Material Costs'!$D$5)</f>
        <v/>
      </c>
      <c r="I213" s="9" t="str">
        <f>IF($A213="","",IF($C213="ESE (Ding Defend)",1,0)*'Material Costs'!$D$4)</f>
        <v/>
      </c>
      <c r="J213" s="9"/>
      <c r="K213" s="9" t="str">
        <f t="shared" si="27"/>
        <v/>
      </c>
      <c r="L213" s="9"/>
      <c r="M213" s="9"/>
      <c r="N213" s="9"/>
      <c r="O213" s="9" t="str">
        <f t="shared" si="28"/>
        <v/>
      </c>
      <c r="P213" s="9"/>
      <c r="Q213" s="9" t="str">
        <f>IF($A213="","",IF($O213="", "", ROUND($O213*Settings!$B$2+Settings!$B$3,2)))</f>
        <v/>
      </c>
      <c r="R213" s="9" t="str">
        <f>IF($A213="","",IF($L213="", "", Settings!$B$4))</f>
        <v/>
      </c>
      <c r="S213" s="9" t="str">
        <f t="shared" si="29"/>
        <v/>
      </c>
      <c r="T213" s="9" t="str">
        <f t="shared" si="30"/>
        <v/>
      </c>
      <c r="U213" s="9" t="str">
        <f>IF($A213="","",IF($K213="", "", ROUND((($K213 + Settings!$B$3 + $R213) - IF($M213="",0,$M213))/(1-Settings!$B$2),2)))</f>
        <v/>
      </c>
      <c r="V213" s="9" t="str">
        <f>IF($A213="","",$L213-($L213*Settings!$B$2)-$J213-($B213+SUM($D213:$I213)))</f>
        <v/>
      </c>
      <c r="W213" s="9" t="str">
        <f>IF($A213="","",(($B213+SUM($D213:$I213)+$J213+Settings!$B$3)/(1-Settings!$B$2))-$M213)</f>
        <v/>
      </c>
      <c r="X213" s="10" t="str">
        <f t="shared" si="31"/>
        <v/>
      </c>
      <c r="Y213" s="10" t="str">
        <f t="shared" si="32"/>
        <v/>
      </c>
      <c r="Z213" s="10" t="str">
        <f t="shared" si="33"/>
        <v/>
      </c>
      <c r="AA213" s="10" t="str">
        <f t="shared" si="34"/>
        <v/>
      </c>
      <c r="AC213" s="11"/>
      <c r="AD213" s="11"/>
      <c r="AE213" s="12" t="str">
        <f t="shared" si="35"/>
        <v/>
      </c>
    </row>
    <row r="214" spans="2:31" x14ac:dyDescent="0.25">
      <c r="B214" s="9"/>
      <c r="C214" t="s">
        <v>31</v>
      </c>
      <c r="D214" s="9" t="str">
        <f>IF($A214="","",1*'Material Costs'!$D$3)</f>
        <v/>
      </c>
      <c r="E214" s="9" t="str">
        <f>IF($A214="","",1*'Material Costs'!$D$2)</f>
        <v/>
      </c>
      <c r="F214" s="9" t="str">
        <f>IF($A214="","",IF($C214="Bubble Mailer",2,1)*'Material Costs'!$D$6)</f>
        <v/>
      </c>
      <c r="G214" s="9" t="str">
        <f>IF($A214="","",1*'Material Costs'!$D$7)</f>
        <v/>
      </c>
      <c r="H214" s="9" t="str">
        <f>IF($A214="","",IF($C214="Bubble Mailer",1,0)*'Material Costs'!$D$5)</f>
        <v/>
      </c>
      <c r="I214" s="9" t="str">
        <f>IF($A214="","",IF($C214="ESE (Ding Defend)",1,0)*'Material Costs'!$D$4)</f>
        <v/>
      </c>
      <c r="J214" s="9"/>
      <c r="K214" s="9" t="str">
        <f t="shared" si="27"/>
        <v/>
      </c>
      <c r="L214" s="9"/>
      <c r="M214" s="9"/>
      <c r="N214" s="9"/>
      <c r="O214" s="9" t="str">
        <f t="shared" si="28"/>
        <v/>
      </c>
      <c r="P214" s="9"/>
      <c r="Q214" s="9" t="str">
        <f>IF($A214="","",IF($O214="", "", ROUND($O214*Settings!$B$2+Settings!$B$3,2)))</f>
        <v/>
      </c>
      <c r="R214" s="9" t="str">
        <f>IF($A214="","",IF($L214="", "", Settings!$B$4))</f>
        <v/>
      </c>
      <c r="S214" s="9" t="str">
        <f t="shared" si="29"/>
        <v/>
      </c>
      <c r="T214" s="9" t="str">
        <f t="shared" si="30"/>
        <v/>
      </c>
      <c r="U214" s="9" t="str">
        <f>IF($A214="","",IF($K214="", "", ROUND((($K214 + Settings!$B$3 + $R214) - IF($M214="",0,$M214))/(1-Settings!$B$2),2)))</f>
        <v/>
      </c>
      <c r="V214" s="9" t="str">
        <f>IF($A214="","",$L214-($L214*Settings!$B$2)-$J214-($B214+SUM($D214:$I214)))</f>
        <v/>
      </c>
      <c r="W214" s="9" t="str">
        <f>IF($A214="","",(($B214+SUM($D214:$I214)+$J214+Settings!$B$3)/(1-Settings!$B$2))-$M214)</f>
        <v/>
      </c>
      <c r="X214" s="10" t="str">
        <f t="shared" si="31"/>
        <v/>
      </c>
      <c r="Y214" s="10" t="str">
        <f t="shared" si="32"/>
        <v/>
      </c>
      <c r="Z214" s="10" t="str">
        <f t="shared" si="33"/>
        <v/>
      </c>
      <c r="AA214" s="10" t="str">
        <f t="shared" si="34"/>
        <v/>
      </c>
      <c r="AC214" s="11"/>
      <c r="AD214" s="11"/>
      <c r="AE214" s="12" t="str">
        <f t="shared" si="35"/>
        <v/>
      </c>
    </row>
    <row r="215" spans="2:31" x14ac:dyDescent="0.25">
      <c r="B215" s="9"/>
      <c r="C215" t="s">
        <v>31</v>
      </c>
      <c r="D215" s="9" t="str">
        <f>IF($A215="","",1*'Material Costs'!$D$3)</f>
        <v/>
      </c>
      <c r="E215" s="9" t="str">
        <f>IF($A215="","",1*'Material Costs'!$D$2)</f>
        <v/>
      </c>
      <c r="F215" s="9" t="str">
        <f>IF($A215="","",IF($C215="Bubble Mailer",2,1)*'Material Costs'!$D$6)</f>
        <v/>
      </c>
      <c r="G215" s="9" t="str">
        <f>IF($A215="","",1*'Material Costs'!$D$7)</f>
        <v/>
      </c>
      <c r="H215" s="9" t="str">
        <f>IF($A215="","",IF($C215="Bubble Mailer",1,0)*'Material Costs'!$D$5)</f>
        <v/>
      </c>
      <c r="I215" s="9" t="str">
        <f>IF($A215="","",IF($C215="ESE (Ding Defend)",1,0)*'Material Costs'!$D$4)</f>
        <v/>
      </c>
      <c r="J215" s="9"/>
      <c r="K215" s="9" t="str">
        <f t="shared" si="27"/>
        <v/>
      </c>
      <c r="L215" s="9"/>
      <c r="M215" s="9"/>
      <c r="N215" s="9"/>
      <c r="O215" s="9" t="str">
        <f t="shared" si="28"/>
        <v/>
      </c>
      <c r="P215" s="9"/>
      <c r="Q215" s="9" t="str">
        <f>IF($A215="","",IF($O215="", "", ROUND($O215*Settings!$B$2+Settings!$B$3,2)))</f>
        <v/>
      </c>
      <c r="R215" s="9" t="str">
        <f>IF($A215="","",IF($L215="", "", Settings!$B$4))</f>
        <v/>
      </c>
      <c r="S215" s="9" t="str">
        <f t="shared" si="29"/>
        <v/>
      </c>
      <c r="T215" s="9" t="str">
        <f t="shared" si="30"/>
        <v/>
      </c>
      <c r="U215" s="9" t="str">
        <f>IF($A215="","",IF($K215="", "", ROUND((($K215 + Settings!$B$3 + $R215) - IF($M215="",0,$M215))/(1-Settings!$B$2),2)))</f>
        <v/>
      </c>
      <c r="V215" s="9" t="str">
        <f>IF($A215="","",$L215-($L215*Settings!$B$2)-$J215-($B215+SUM($D215:$I215)))</f>
        <v/>
      </c>
      <c r="W215" s="9" t="str">
        <f>IF($A215="","",(($B215+SUM($D215:$I215)+$J215+Settings!$B$3)/(1-Settings!$B$2))-$M215)</f>
        <v/>
      </c>
      <c r="X215" s="10" t="str">
        <f t="shared" si="31"/>
        <v/>
      </c>
      <c r="Y215" s="10" t="str">
        <f t="shared" si="32"/>
        <v/>
      </c>
      <c r="Z215" s="10" t="str">
        <f t="shared" si="33"/>
        <v/>
      </c>
      <c r="AA215" s="10" t="str">
        <f t="shared" si="34"/>
        <v/>
      </c>
      <c r="AC215" s="11"/>
      <c r="AD215" s="11"/>
      <c r="AE215" s="12" t="str">
        <f t="shared" si="35"/>
        <v/>
      </c>
    </row>
    <row r="216" spans="2:31" x14ac:dyDescent="0.25">
      <c r="B216" s="9"/>
      <c r="C216" t="s">
        <v>31</v>
      </c>
      <c r="D216" s="9" t="str">
        <f>IF($A216="","",1*'Material Costs'!$D$3)</f>
        <v/>
      </c>
      <c r="E216" s="9" t="str">
        <f>IF($A216="","",1*'Material Costs'!$D$2)</f>
        <v/>
      </c>
      <c r="F216" s="9" t="str">
        <f>IF($A216="","",IF($C216="Bubble Mailer",2,1)*'Material Costs'!$D$6)</f>
        <v/>
      </c>
      <c r="G216" s="9" t="str">
        <f>IF($A216="","",1*'Material Costs'!$D$7)</f>
        <v/>
      </c>
      <c r="H216" s="9" t="str">
        <f>IF($A216="","",IF($C216="Bubble Mailer",1,0)*'Material Costs'!$D$5)</f>
        <v/>
      </c>
      <c r="I216" s="9" t="str">
        <f>IF($A216="","",IF($C216="ESE (Ding Defend)",1,0)*'Material Costs'!$D$4)</f>
        <v/>
      </c>
      <c r="J216" s="9"/>
      <c r="K216" s="9" t="str">
        <f t="shared" si="27"/>
        <v/>
      </c>
      <c r="L216" s="9"/>
      <c r="M216" s="9"/>
      <c r="N216" s="9"/>
      <c r="O216" s="9" t="str">
        <f t="shared" si="28"/>
        <v/>
      </c>
      <c r="P216" s="9"/>
      <c r="Q216" s="9" t="str">
        <f>IF($A216="","",IF($O216="", "", ROUND($O216*Settings!$B$2+Settings!$B$3,2)))</f>
        <v/>
      </c>
      <c r="R216" s="9" t="str">
        <f>IF($A216="","",IF($L216="", "", Settings!$B$4))</f>
        <v/>
      </c>
      <c r="S216" s="9" t="str">
        <f t="shared" si="29"/>
        <v/>
      </c>
      <c r="T216" s="9" t="str">
        <f t="shared" si="30"/>
        <v/>
      </c>
      <c r="U216" s="9" t="str">
        <f>IF($A216="","",IF($K216="", "", ROUND((($K216 + Settings!$B$3 + $R216) - IF($M216="",0,$M216))/(1-Settings!$B$2),2)))</f>
        <v/>
      </c>
      <c r="V216" s="9" t="str">
        <f>IF($A216="","",$L216-($L216*Settings!$B$2)-$J216-($B216+SUM($D216:$I216)))</f>
        <v/>
      </c>
      <c r="W216" s="9" t="str">
        <f>IF($A216="","",(($B216+SUM($D216:$I216)+$J216+Settings!$B$3)/(1-Settings!$B$2))-$M216)</f>
        <v/>
      </c>
      <c r="X216" s="10" t="str">
        <f t="shared" si="31"/>
        <v/>
      </c>
      <c r="Y216" s="10" t="str">
        <f t="shared" si="32"/>
        <v/>
      </c>
      <c r="Z216" s="10" t="str">
        <f t="shared" si="33"/>
        <v/>
      </c>
      <c r="AA216" s="10" t="str">
        <f t="shared" si="34"/>
        <v/>
      </c>
      <c r="AC216" s="11"/>
      <c r="AD216" s="11"/>
      <c r="AE216" s="12" t="str">
        <f t="shared" si="35"/>
        <v/>
      </c>
    </row>
    <row r="217" spans="2:31" x14ac:dyDescent="0.25">
      <c r="B217" s="9"/>
      <c r="C217" t="s">
        <v>31</v>
      </c>
      <c r="D217" s="9" t="str">
        <f>IF($A217="","",1*'Material Costs'!$D$3)</f>
        <v/>
      </c>
      <c r="E217" s="9" t="str">
        <f>IF($A217="","",1*'Material Costs'!$D$2)</f>
        <v/>
      </c>
      <c r="F217" s="9" t="str">
        <f>IF($A217="","",IF($C217="Bubble Mailer",2,1)*'Material Costs'!$D$6)</f>
        <v/>
      </c>
      <c r="G217" s="9" t="str">
        <f>IF($A217="","",1*'Material Costs'!$D$7)</f>
        <v/>
      </c>
      <c r="H217" s="9" t="str">
        <f>IF($A217="","",IF($C217="Bubble Mailer",1,0)*'Material Costs'!$D$5)</f>
        <v/>
      </c>
      <c r="I217" s="9" t="str">
        <f>IF($A217="","",IF($C217="ESE (Ding Defend)",1,0)*'Material Costs'!$D$4)</f>
        <v/>
      </c>
      <c r="J217" s="9"/>
      <c r="K217" s="9" t="str">
        <f t="shared" si="27"/>
        <v/>
      </c>
      <c r="L217" s="9"/>
      <c r="M217" s="9"/>
      <c r="N217" s="9"/>
      <c r="O217" s="9" t="str">
        <f t="shared" si="28"/>
        <v/>
      </c>
      <c r="P217" s="9"/>
      <c r="Q217" s="9" t="str">
        <f>IF($A217="","",IF($O217="", "", ROUND($O217*Settings!$B$2+Settings!$B$3,2)))</f>
        <v/>
      </c>
      <c r="R217" s="9" t="str">
        <f>IF($A217="","",IF($L217="", "", Settings!$B$4))</f>
        <v/>
      </c>
      <c r="S217" s="9" t="str">
        <f t="shared" si="29"/>
        <v/>
      </c>
      <c r="T217" s="9" t="str">
        <f t="shared" si="30"/>
        <v/>
      </c>
      <c r="U217" s="9" t="str">
        <f>IF($A217="","",IF($K217="", "", ROUND((($K217 + Settings!$B$3 + $R217) - IF($M217="",0,$M217))/(1-Settings!$B$2),2)))</f>
        <v/>
      </c>
      <c r="V217" s="9" t="str">
        <f>IF($A217="","",$L217-($L217*Settings!$B$2)-$J217-($B217+SUM($D217:$I217)))</f>
        <v/>
      </c>
      <c r="W217" s="9" t="str">
        <f>IF($A217="","",(($B217+SUM($D217:$I217)+$J217+Settings!$B$3)/(1-Settings!$B$2))-$M217)</f>
        <v/>
      </c>
      <c r="X217" s="10" t="str">
        <f t="shared" si="31"/>
        <v/>
      </c>
      <c r="Y217" s="10" t="str">
        <f t="shared" si="32"/>
        <v/>
      </c>
      <c r="Z217" s="10" t="str">
        <f t="shared" si="33"/>
        <v/>
      </c>
      <c r="AA217" s="10" t="str">
        <f t="shared" si="34"/>
        <v/>
      </c>
      <c r="AC217" s="11"/>
      <c r="AD217" s="11"/>
      <c r="AE217" s="12" t="str">
        <f t="shared" si="35"/>
        <v/>
      </c>
    </row>
    <row r="218" spans="2:31" x14ac:dyDescent="0.25">
      <c r="B218" s="9"/>
      <c r="C218" t="s">
        <v>31</v>
      </c>
      <c r="D218" s="9" t="str">
        <f>IF($A218="","",1*'Material Costs'!$D$3)</f>
        <v/>
      </c>
      <c r="E218" s="9" t="str">
        <f>IF($A218="","",1*'Material Costs'!$D$2)</f>
        <v/>
      </c>
      <c r="F218" s="9" t="str">
        <f>IF($A218="","",IF($C218="Bubble Mailer",2,1)*'Material Costs'!$D$6)</f>
        <v/>
      </c>
      <c r="G218" s="9" t="str">
        <f>IF($A218="","",1*'Material Costs'!$D$7)</f>
        <v/>
      </c>
      <c r="H218" s="9" t="str">
        <f>IF($A218="","",IF($C218="Bubble Mailer",1,0)*'Material Costs'!$D$5)</f>
        <v/>
      </c>
      <c r="I218" s="9" t="str">
        <f>IF($A218="","",IF($C218="ESE (Ding Defend)",1,0)*'Material Costs'!$D$4)</f>
        <v/>
      </c>
      <c r="J218" s="9"/>
      <c r="K218" s="9" t="str">
        <f t="shared" si="27"/>
        <v/>
      </c>
      <c r="L218" s="9"/>
      <c r="M218" s="9"/>
      <c r="N218" s="9"/>
      <c r="O218" s="9" t="str">
        <f t="shared" si="28"/>
        <v/>
      </c>
      <c r="P218" s="9"/>
      <c r="Q218" s="9" t="str">
        <f>IF($A218="","",IF($O218="", "", ROUND($O218*Settings!$B$2+Settings!$B$3,2)))</f>
        <v/>
      </c>
      <c r="R218" s="9" t="str">
        <f>IF($A218="","",IF($L218="", "", Settings!$B$4))</f>
        <v/>
      </c>
      <c r="S218" s="9" t="str">
        <f t="shared" si="29"/>
        <v/>
      </c>
      <c r="T218" s="9" t="str">
        <f t="shared" si="30"/>
        <v/>
      </c>
      <c r="U218" s="9" t="str">
        <f>IF($A218="","",IF($K218="", "", ROUND((($K218 + Settings!$B$3 + $R218) - IF($M218="",0,$M218))/(1-Settings!$B$2),2)))</f>
        <v/>
      </c>
      <c r="V218" s="9" t="str">
        <f>IF($A218="","",$L218-($L218*Settings!$B$2)-$J218-($B218+SUM($D218:$I218)))</f>
        <v/>
      </c>
      <c r="W218" s="9" t="str">
        <f>IF($A218="","",(($B218+SUM($D218:$I218)+$J218+Settings!$B$3)/(1-Settings!$B$2))-$M218)</f>
        <v/>
      </c>
      <c r="X218" s="10" t="str">
        <f t="shared" si="31"/>
        <v/>
      </c>
      <c r="Y218" s="10" t="str">
        <f t="shared" si="32"/>
        <v/>
      </c>
      <c r="Z218" s="10" t="str">
        <f t="shared" si="33"/>
        <v/>
      </c>
      <c r="AA218" s="10" t="str">
        <f t="shared" si="34"/>
        <v/>
      </c>
      <c r="AC218" s="11"/>
      <c r="AD218" s="11"/>
      <c r="AE218" s="12" t="str">
        <f t="shared" si="35"/>
        <v/>
      </c>
    </row>
    <row r="219" spans="2:31" x14ac:dyDescent="0.25">
      <c r="B219" s="9"/>
      <c r="C219" t="s">
        <v>31</v>
      </c>
      <c r="D219" s="9" t="str">
        <f>IF($A219="","",1*'Material Costs'!$D$3)</f>
        <v/>
      </c>
      <c r="E219" s="9" t="str">
        <f>IF($A219="","",1*'Material Costs'!$D$2)</f>
        <v/>
      </c>
      <c r="F219" s="9" t="str">
        <f>IF($A219="","",IF($C219="Bubble Mailer",2,1)*'Material Costs'!$D$6)</f>
        <v/>
      </c>
      <c r="G219" s="9" t="str">
        <f>IF($A219="","",1*'Material Costs'!$D$7)</f>
        <v/>
      </c>
      <c r="H219" s="9" t="str">
        <f>IF($A219="","",IF($C219="Bubble Mailer",1,0)*'Material Costs'!$D$5)</f>
        <v/>
      </c>
      <c r="I219" s="9" t="str">
        <f>IF($A219="","",IF($C219="ESE (Ding Defend)",1,0)*'Material Costs'!$D$4)</f>
        <v/>
      </c>
      <c r="J219" s="9"/>
      <c r="K219" s="9" t="str">
        <f t="shared" si="27"/>
        <v/>
      </c>
      <c r="L219" s="9"/>
      <c r="M219" s="9"/>
      <c r="N219" s="9"/>
      <c r="O219" s="9" t="str">
        <f t="shared" si="28"/>
        <v/>
      </c>
      <c r="P219" s="9"/>
      <c r="Q219" s="9" t="str">
        <f>IF($A219="","",IF($O219="", "", ROUND($O219*Settings!$B$2+Settings!$B$3,2)))</f>
        <v/>
      </c>
      <c r="R219" s="9" t="str">
        <f>IF($A219="","",IF($L219="", "", Settings!$B$4))</f>
        <v/>
      </c>
      <c r="S219" s="9" t="str">
        <f t="shared" si="29"/>
        <v/>
      </c>
      <c r="T219" s="9" t="str">
        <f t="shared" si="30"/>
        <v/>
      </c>
      <c r="U219" s="9" t="str">
        <f>IF($A219="","",IF($K219="", "", ROUND((($K219 + Settings!$B$3 + $R219) - IF($M219="",0,$M219))/(1-Settings!$B$2),2)))</f>
        <v/>
      </c>
      <c r="V219" s="9" t="str">
        <f>IF($A219="","",$L219-($L219*Settings!$B$2)-$J219-($B219+SUM($D219:$I219)))</f>
        <v/>
      </c>
      <c r="W219" s="9" t="str">
        <f>IF($A219="","",(($B219+SUM($D219:$I219)+$J219+Settings!$B$3)/(1-Settings!$B$2))-$M219)</f>
        <v/>
      </c>
      <c r="X219" s="10" t="str">
        <f t="shared" si="31"/>
        <v/>
      </c>
      <c r="Y219" s="10" t="str">
        <f t="shared" si="32"/>
        <v/>
      </c>
      <c r="Z219" s="10" t="str">
        <f t="shared" si="33"/>
        <v/>
      </c>
      <c r="AA219" s="10" t="str">
        <f t="shared" si="34"/>
        <v/>
      </c>
      <c r="AC219" s="11"/>
      <c r="AD219" s="11"/>
      <c r="AE219" s="12" t="str">
        <f t="shared" si="35"/>
        <v/>
      </c>
    </row>
    <row r="220" spans="2:31" x14ac:dyDescent="0.25">
      <c r="B220" s="9"/>
      <c r="C220" t="s">
        <v>31</v>
      </c>
      <c r="D220" s="9" t="str">
        <f>IF($A220="","",1*'Material Costs'!$D$3)</f>
        <v/>
      </c>
      <c r="E220" s="9" t="str">
        <f>IF($A220="","",1*'Material Costs'!$D$2)</f>
        <v/>
      </c>
      <c r="F220" s="9" t="str">
        <f>IF($A220="","",IF($C220="Bubble Mailer",2,1)*'Material Costs'!$D$6)</f>
        <v/>
      </c>
      <c r="G220" s="9" t="str">
        <f>IF($A220="","",1*'Material Costs'!$D$7)</f>
        <v/>
      </c>
      <c r="H220" s="9" t="str">
        <f>IF($A220="","",IF($C220="Bubble Mailer",1,0)*'Material Costs'!$D$5)</f>
        <v/>
      </c>
      <c r="I220" s="9" t="str">
        <f>IF($A220="","",IF($C220="ESE (Ding Defend)",1,0)*'Material Costs'!$D$4)</f>
        <v/>
      </c>
      <c r="J220" s="9"/>
      <c r="K220" s="9" t="str">
        <f t="shared" si="27"/>
        <v/>
      </c>
      <c r="L220" s="9"/>
      <c r="M220" s="9"/>
      <c r="N220" s="9"/>
      <c r="O220" s="9" t="str">
        <f t="shared" si="28"/>
        <v/>
      </c>
      <c r="P220" s="9"/>
      <c r="Q220" s="9" t="str">
        <f>IF($A220="","",IF($O220="", "", ROUND($O220*Settings!$B$2+Settings!$B$3,2)))</f>
        <v/>
      </c>
      <c r="R220" s="9" t="str">
        <f>IF($A220="","",IF($L220="", "", Settings!$B$4))</f>
        <v/>
      </c>
      <c r="S220" s="9" t="str">
        <f t="shared" si="29"/>
        <v/>
      </c>
      <c r="T220" s="9" t="str">
        <f t="shared" si="30"/>
        <v/>
      </c>
      <c r="U220" s="9" t="str">
        <f>IF($A220="","",IF($K220="", "", ROUND((($K220 + Settings!$B$3 + $R220) - IF($M220="",0,$M220))/(1-Settings!$B$2),2)))</f>
        <v/>
      </c>
      <c r="V220" s="9" t="str">
        <f>IF($A220="","",$L220-($L220*Settings!$B$2)-$J220-($B220+SUM($D220:$I220)))</f>
        <v/>
      </c>
      <c r="W220" s="9" t="str">
        <f>IF($A220="","",(($B220+SUM($D220:$I220)+$J220+Settings!$B$3)/(1-Settings!$B$2))-$M220)</f>
        <v/>
      </c>
      <c r="X220" s="10" t="str">
        <f t="shared" si="31"/>
        <v/>
      </c>
      <c r="Y220" s="10" t="str">
        <f t="shared" si="32"/>
        <v/>
      </c>
      <c r="Z220" s="10" t="str">
        <f t="shared" si="33"/>
        <v/>
      </c>
      <c r="AA220" s="10" t="str">
        <f t="shared" si="34"/>
        <v/>
      </c>
      <c r="AC220" s="11"/>
      <c r="AD220" s="11"/>
      <c r="AE220" s="12" t="str">
        <f t="shared" si="35"/>
        <v/>
      </c>
    </row>
    <row r="221" spans="2:31" x14ac:dyDescent="0.25">
      <c r="B221" s="9"/>
      <c r="C221" t="s">
        <v>31</v>
      </c>
      <c r="D221" s="9" t="str">
        <f>IF($A221="","",1*'Material Costs'!$D$3)</f>
        <v/>
      </c>
      <c r="E221" s="9" t="str">
        <f>IF($A221="","",1*'Material Costs'!$D$2)</f>
        <v/>
      </c>
      <c r="F221" s="9" t="str">
        <f>IF($A221="","",IF($C221="Bubble Mailer",2,1)*'Material Costs'!$D$6)</f>
        <v/>
      </c>
      <c r="G221" s="9" t="str">
        <f>IF($A221="","",1*'Material Costs'!$D$7)</f>
        <v/>
      </c>
      <c r="H221" s="9" t="str">
        <f>IF($A221="","",IF($C221="Bubble Mailer",1,0)*'Material Costs'!$D$5)</f>
        <v/>
      </c>
      <c r="I221" s="9" t="str">
        <f>IF($A221="","",IF($C221="ESE (Ding Defend)",1,0)*'Material Costs'!$D$4)</f>
        <v/>
      </c>
      <c r="J221" s="9"/>
      <c r="K221" s="9" t="str">
        <f t="shared" si="27"/>
        <v/>
      </c>
      <c r="L221" s="9"/>
      <c r="M221" s="9"/>
      <c r="N221" s="9"/>
      <c r="O221" s="9" t="str">
        <f t="shared" si="28"/>
        <v/>
      </c>
      <c r="P221" s="9"/>
      <c r="Q221" s="9" t="str">
        <f>IF($A221="","",IF($O221="", "", ROUND($O221*Settings!$B$2+Settings!$B$3,2)))</f>
        <v/>
      </c>
      <c r="R221" s="9" t="str">
        <f>IF($A221="","",IF($L221="", "", Settings!$B$4))</f>
        <v/>
      </c>
      <c r="S221" s="9" t="str">
        <f t="shared" si="29"/>
        <v/>
      </c>
      <c r="T221" s="9" t="str">
        <f t="shared" si="30"/>
        <v/>
      </c>
      <c r="U221" s="9" t="str">
        <f>IF($A221="","",IF($K221="", "", ROUND((($K221 + Settings!$B$3 + $R221) - IF($M221="",0,$M221))/(1-Settings!$B$2),2)))</f>
        <v/>
      </c>
      <c r="V221" s="9" t="str">
        <f>IF($A221="","",$L221-($L221*Settings!$B$2)-$J221-($B221+SUM($D221:$I221)))</f>
        <v/>
      </c>
      <c r="W221" s="9" t="str">
        <f>IF($A221="","",(($B221+SUM($D221:$I221)+$J221+Settings!$B$3)/(1-Settings!$B$2))-$M221)</f>
        <v/>
      </c>
      <c r="X221" s="10" t="str">
        <f t="shared" si="31"/>
        <v/>
      </c>
      <c r="Y221" s="10" t="str">
        <f t="shared" si="32"/>
        <v/>
      </c>
      <c r="Z221" s="10" t="str">
        <f t="shared" si="33"/>
        <v/>
      </c>
      <c r="AA221" s="10" t="str">
        <f t="shared" si="34"/>
        <v/>
      </c>
      <c r="AC221" s="11"/>
      <c r="AD221" s="11"/>
      <c r="AE221" s="12" t="str">
        <f t="shared" si="35"/>
        <v/>
      </c>
    </row>
    <row r="222" spans="2:31" x14ac:dyDescent="0.25">
      <c r="B222" s="9"/>
      <c r="C222" t="s">
        <v>31</v>
      </c>
      <c r="D222" s="9" t="str">
        <f>IF($A222="","",1*'Material Costs'!$D$3)</f>
        <v/>
      </c>
      <c r="E222" s="9" t="str">
        <f>IF($A222="","",1*'Material Costs'!$D$2)</f>
        <v/>
      </c>
      <c r="F222" s="9" t="str">
        <f>IF($A222="","",IF($C222="Bubble Mailer",2,1)*'Material Costs'!$D$6)</f>
        <v/>
      </c>
      <c r="G222" s="9" t="str">
        <f>IF($A222="","",1*'Material Costs'!$D$7)</f>
        <v/>
      </c>
      <c r="H222" s="9" t="str">
        <f>IF($A222="","",IF($C222="Bubble Mailer",1,0)*'Material Costs'!$D$5)</f>
        <v/>
      </c>
      <c r="I222" s="9" t="str">
        <f>IF($A222="","",IF($C222="ESE (Ding Defend)",1,0)*'Material Costs'!$D$4)</f>
        <v/>
      </c>
      <c r="J222" s="9"/>
      <c r="K222" s="9" t="str">
        <f t="shared" si="27"/>
        <v/>
      </c>
      <c r="L222" s="9"/>
      <c r="M222" s="9"/>
      <c r="N222" s="9"/>
      <c r="O222" s="9" t="str">
        <f t="shared" si="28"/>
        <v/>
      </c>
      <c r="P222" s="9"/>
      <c r="Q222" s="9" t="str">
        <f>IF($A222="","",IF($O222="", "", ROUND($O222*Settings!$B$2+Settings!$B$3,2)))</f>
        <v/>
      </c>
      <c r="R222" s="9" t="str">
        <f>IF($A222="","",IF($L222="", "", Settings!$B$4))</f>
        <v/>
      </c>
      <c r="S222" s="9" t="str">
        <f t="shared" si="29"/>
        <v/>
      </c>
      <c r="T222" s="9" t="str">
        <f t="shared" si="30"/>
        <v/>
      </c>
      <c r="U222" s="9" t="str">
        <f>IF($A222="","",IF($K222="", "", ROUND((($K222 + Settings!$B$3 + $R222) - IF($M222="",0,$M222))/(1-Settings!$B$2),2)))</f>
        <v/>
      </c>
      <c r="V222" s="9" t="str">
        <f>IF($A222="","",$L222-($L222*Settings!$B$2)-$J222-($B222+SUM($D222:$I222)))</f>
        <v/>
      </c>
      <c r="W222" s="9" t="str">
        <f>IF($A222="","",(($B222+SUM($D222:$I222)+$J222+Settings!$B$3)/(1-Settings!$B$2))-$M222)</f>
        <v/>
      </c>
      <c r="X222" s="10" t="str">
        <f t="shared" si="31"/>
        <v/>
      </c>
      <c r="Y222" s="10" t="str">
        <f t="shared" si="32"/>
        <v/>
      </c>
      <c r="Z222" s="10" t="str">
        <f t="shared" si="33"/>
        <v/>
      </c>
      <c r="AA222" s="10" t="str">
        <f t="shared" si="34"/>
        <v/>
      </c>
      <c r="AC222" s="11"/>
      <c r="AD222" s="11"/>
      <c r="AE222" s="12" t="str">
        <f t="shared" si="35"/>
        <v/>
      </c>
    </row>
    <row r="223" spans="2:31" x14ac:dyDescent="0.25">
      <c r="B223" s="9"/>
      <c r="C223" t="s">
        <v>31</v>
      </c>
      <c r="D223" s="9" t="str">
        <f>IF($A223="","",1*'Material Costs'!$D$3)</f>
        <v/>
      </c>
      <c r="E223" s="9" t="str">
        <f>IF($A223="","",1*'Material Costs'!$D$2)</f>
        <v/>
      </c>
      <c r="F223" s="9" t="str">
        <f>IF($A223="","",IF($C223="Bubble Mailer",2,1)*'Material Costs'!$D$6)</f>
        <v/>
      </c>
      <c r="G223" s="9" t="str">
        <f>IF($A223="","",1*'Material Costs'!$D$7)</f>
        <v/>
      </c>
      <c r="H223" s="9" t="str">
        <f>IF($A223="","",IF($C223="Bubble Mailer",1,0)*'Material Costs'!$D$5)</f>
        <v/>
      </c>
      <c r="I223" s="9" t="str">
        <f>IF($A223="","",IF($C223="ESE (Ding Defend)",1,0)*'Material Costs'!$D$4)</f>
        <v/>
      </c>
      <c r="J223" s="9"/>
      <c r="K223" s="9" t="str">
        <f t="shared" si="27"/>
        <v/>
      </c>
      <c r="L223" s="9"/>
      <c r="M223" s="9"/>
      <c r="N223" s="9"/>
      <c r="O223" s="9" t="str">
        <f t="shared" si="28"/>
        <v/>
      </c>
      <c r="P223" s="9"/>
      <c r="Q223" s="9" t="str">
        <f>IF($A223="","",IF($O223="", "", ROUND($O223*Settings!$B$2+Settings!$B$3,2)))</f>
        <v/>
      </c>
      <c r="R223" s="9" t="str">
        <f>IF($A223="","",IF($L223="", "", Settings!$B$4))</f>
        <v/>
      </c>
      <c r="S223" s="9" t="str">
        <f t="shared" si="29"/>
        <v/>
      </c>
      <c r="T223" s="9" t="str">
        <f t="shared" si="30"/>
        <v/>
      </c>
      <c r="U223" s="9" t="str">
        <f>IF($A223="","",IF($K223="", "", ROUND((($K223 + Settings!$B$3 + $R223) - IF($M223="",0,$M223))/(1-Settings!$B$2),2)))</f>
        <v/>
      </c>
      <c r="V223" s="9" t="str">
        <f>IF($A223="","",$L223-($L223*Settings!$B$2)-$J223-($B223+SUM($D223:$I223)))</f>
        <v/>
      </c>
      <c r="W223" s="9" t="str">
        <f>IF($A223="","",(($B223+SUM($D223:$I223)+$J223+Settings!$B$3)/(1-Settings!$B$2))-$M223)</f>
        <v/>
      </c>
      <c r="X223" s="10" t="str">
        <f t="shared" si="31"/>
        <v/>
      </c>
      <c r="Y223" s="10" t="str">
        <f t="shared" si="32"/>
        <v/>
      </c>
      <c r="Z223" s="10" t="str">
        <f t="shared" si="33"/>
        <v/>
      </c>
      <c r="AA223" s="10" t="str">
        <f t="shared" si="34"/>
        <v/>
      </c>
      <c r="AC223" s="11"/>
      <c r="AD223" s="11"/>
      <c r="AE223" s="12" t="str">
        <f t="shared" si="35"/>
        <v/>
      </c>
    </row>
    <row r="224" spans="2:31" x14ac:dyDescent="0.25">
      <c r="B224" s="9"/>
      <c r="C224" t="s">
        <v>31</v>
      </c>
      <c r="D224" s="9" t="str">
        <f>IF($A224="","",1*'Material Costs'!$D$3)</f>
        <v/>
      </c>
      <c r="E224" s="9" t="str">
        <f>IF($A224="","",1*'Material Costs'!$D$2)</f>
        <v/>
      </c>
      <c r="F224" s="9" t="str">
        <f>IF($A224="","",IF($C224="Bubble Mailer",2,1)*'Material Costs'!$D$6)</f>
        <v/>
      </c>
      <c r="G224" s="9" t="str">
        <f>IF($A224="","",1*'Material Costs'!$D$7)</f>
        <v/>
      </c>
      <c r="H224" s="9" t="str">
        <f>IF($A224="","",IF($C224="Bubble Mailer",1,0)*'Material Costs'!$D$5)</f>
        <v/>
      </c>
      <c r="I224" s="9" t="str">
        <f>IF($A224="","",IF($C224="ESE (Ding Defend)",1,0)*'Material Costs'!$D$4)</f>
        <v/>
      </c>
      <c r="J224" s="9"/>
      <c r="K224" s="9" t="str">
        <f t="shared" si="27"/>
        <v/>
      </c>
      <c r="L224" s="9"/>
      <c r="M224" s="9"/>
      <c r="N224" s="9"/>
      <c r="O224" s="9" t="str">
        <f t="shared" si="28"/>
        <v/>
      </c>
      <c r="P224" s="9"/>
      <c r="Q224" s="9" t="str">
        <f>IF($A224="","",IF($O224="", "", ROUND($O224*Settings!$B$2+Settings!$B$3,2)))</f>
        <v/>
      </c>
      <c r="R224" s="9" t="str">
        <f>IF($A224="","",IF($L224="", "", Settings!$B$4))</f>
        <v/>
      </c>
      <c r="S224" s="9" t="str">
        <f t="shared" si="29"/>
        <v/>
      </c>
      <c r="T224" s="9" t="str">
        <f t="shared" si="30"/>
        <v/>
      </c>
      <c r="U224" s="9" t="str">
        <f>IF($A224="","",IF($K224="", "", ROUND((($K224 + Settings!$B$3 + $R224) - IF($M224="",0,$M224))/(1-Settings!$B$2),2)))</f>
        <v/>
      </c>
      <c r="V224" s="9" t="str">
        <f>IF($A224="","",$L224-($L224*Settings!$B$2)-$J224-($B224+SUM($D224:$I224)))</f>
        <v/>
      </c>
      <c r="W224" s="9" t="str">
        <f>IF($A224="","",(($B224+SUM($D224:$I224)+$J224+Settings!$B$3)/(1-Settings!$B$2))-$M224)</f>
        <v/>
      </c>
      <c r="X224" s="10" t="str">
        <f t="shared" si="31"/>
        <v/>
      </c>
      <c r="Y224" s="10" t="str">
        <f t="shared" si="32"/>
        <v/>
      </c>
      <c r="Z224" s="10" t="str">
        <f t="shared" si="33"/>
        <v/>
      </c>
      <c r="AA224" s="10" t="str">
        <f t="shared" si="34"/>
        <v/>
      </c>
      <c r="AC224" s="11"/>
      <c r="AD224" s="11"/>
      <c r="AE224" s="12" t="str">
        <f t="shared" si="35"/>
        <v/>
      </c>
    </row>
    <row r="225" spans="2:31" x14ac:dyDescent="0.25">
      <c r="B225" s="9"/>
      <c r="C225" t="s">
        <v>31</v>
      </c>
      <c r="D225" s="9" t="str">
        <f>IF($A225="","",1*'Material Costs'!$D$3)</f>
        <v/>
      </c>
      <c r="E225" s="9" t="str">
        <f>IF($A225="","",1*'Material Costs'!$D$2)</f>
        <v/>
      </c>
      <c r="F225" s="9" t="str">
        <f>IF($A225="","",IF($C225="Bubble Mailer",2,1)*'Material Costs'!$D$6)</f>
        <v/>
      </c>
      <c r="G225" s="9" t="str">
        <f>IF($A225="","",1*'Material Costs'!$D$7)</f>
        <v/>
      </c>
      <c r="H225" s="9" t="str">
        <f>IF($A225="","",IF($C225="Bubble Mailer",1,0)*'Material Costs'!$D$5)</f>
        <v/>
      </c>
      <c r="I225" s="9" t="str">
        <f>IF($A225="","",IF($C225="ESE (Ding Defend)",1,0)*'Material Costs'!$D$4)</f>
        <v/>
      </c>
      <c r="J225" s="9"/>
      <c r="K225" s="9" t="str">
        <f t="shared" si="27"/>
        <v/>
      </c>
      <c r="L225" s="9"/>
      <c r="M225" s="9"/>
      <c r="N225" s="9"/>
      <c r="O225" s="9" t="str">
        <f t="shared" si="28"/>
        <v/>
      </c>
      <c r="P225" s="9"/>
      <c r="Q225" s="9" t="str">
        <f>IF($A225="","",IF($O225="", "", ROUND($O225*Settings!$B$2+Settings!$B$3,2)))</f>
        <v/>
      </c>
      <c r="R225" s="9" t="str">
        <f>IF($A225="","",IF($L225="", "", Settings!$B$4))</f>
        <v/>
      </c>
      <c r="S225" s="9" t="str">
        <f t="shared" si="29"/>
        <v/>
      </c>
      <c r="T225" s="9" t="str">
        <f t="shared" si="30"/>
        <v/>
      </c>
      <c r="U225" s="9" t="str">
        <f>IF($A225="","",IF($K225="", "", ROUND((($K225 + Settings!$B$3 + $R225) - IF($M225="",0,$M225))/(1-Settings!$B$2),2)))</f>
        <v/>
      </c>
      <c r="V225" s="9" t="str">
        <f>IF($A225="","",$L225-($L225*Settings!$B$2)-$J225-($B225+SUM($D225:$I225)))</f>
        <v/>
      </c>
      <c r="W225" s="9" t="str">
        <f>IF($A225="","",(($B225+SUM($D225:$I225)+$J225+Settings!$B$3)/(1-Settings!$B$2))-$M225)</f>
        <v/>
      </c>
      <c r="X225" s="10" t="str">
        <f t="shared" si="31"/>
        <v/>
      </c>
      <c r="Y225" s="10" t="str">
        <f t="shared" si="32"/>
        <v/>
      </c>
      <c r="Z225" s="10" t="str">
        <f t="shared" si="33"/>
        <v/>
      </c>
      <c r="AA225" s="10" t="str">
        <f t="shared" si="34"/>
        <v/>
      </c>
      <c r="AC225" s="11"/>
      <c r="AD225" s="11"/>
      <c r="AE225" s="12" t="str">
        <f t="shared" si="35"/>
        <v/>
      </c>
    </row>
    <row r="226" spans="2:31" x14ac:dyDescent="0.25">
      <c r="B226" s="9"/>
      <c r="C226" t="s">
        <v>31</v>
      </c>
      <c r="D226" s="9" t="str">
        <f>IF($A226="","",1*'Material Costs'!$D$3)</f>
        <v/>
      </c>
      <c r="E226" s="9" t="str">
        <f>IF($A226="","",1*'Material Costs'!$D$2)</f>
        <v/>
      </c>
      <c r="F226" s="9" t="str">
        <f>IF($A226="","",IF($C226="Bubble Mailer",2,1)*'Material Costs'!$D$6)</f>
        <v/>
      </c>
      <c r="G226" s="9" t="str">
        <f>IF($A226="","",1*'Material Costs'!$D$7)</f>
        <v/>
      </c>
      <c r="H226" s="9" t="str">
        <f>IF($A226="","",IF($C226="Bubble Mailer",1,0)*'Material Costs'!$D$5)</f>
        <v/>
      </c>
      <c r="I226" s="9" t="str">
        <f>IF($A226="","",IF($C226="ESE (Ding Defend)",1,0)*'Material Costs'!$D$4)</f>
        <v/>
      </c>
      <c r="J226" s="9"/>
      <c r="K226" s="9" t="str">
        <f t="shared" si="27"/>
        <v/>
      </c>
      <c r="L226" s="9"/>
      <c r="M226" s="9"/>
      <c r="N226" s="9"/>
      <c r="O226" s="9" t="str">
        <f t="shared" si="28"/>
        <v/>
      </c>
      <c r="P226" s="9"/>
      <c r="Q226" s="9" t="str">
        <f>IF($A226="","",IF($O226="", "", ROUND($O226*Settings!$B$2+Settings!$B$3,2)))</f>
        <v/>
      </c>
      <c r="R226" s="9" t="str">
        <f>IF($A226="","",IF($L226="", "", Settings!$B$4))</f>
        <v/>
      </c>
      <c r="S226" s="9" t="str">
        <f t="shared" si="29"/>
        <v/>
      </c>
      <c r="T226" s="9" t="str">
        <f t="shared" si="30"/>
        <v/>
      </c>
      <c r="U226" s="9" t="str">
        <f>IF($A226="","",IF($K226="", "", ROUND((($K226 + Settings!$B$3 + $R226) - IF($M226="",0,$M226))/(1-Settings!$B$2),2)))</f>
        <v/>
      </c>
      <c r="V226" s="9" t="str">
        <f>IF($A226="","",$L226-($L226*Settings!$B$2)-$J226-($B226+SUM($D226:$I226)))</f>
        <v/>
      </c>
      <c r="W226" s="9" t="str">
        <f>IF($A226="","",(($B226+SUM($D226:$I226)+$J226+Settings!$B$3)/(1-Settings!$B$2))-$M226)</f>
        <v/>
      </c>
      <c r="X226" s="10" t="str">
        <f t="shared" si="31"/>
        <v/>
      </c>
      <c r="Y226" s="10" t="str">
        <f t="shared" si="32"/>
        <v/>
      </c>
      <c r="Z226" s="10" t="str">
        <f t="shared" si="33"/>
        <v/>
      </c>
      <c r="AA226" s="10" t="str">
        <f t="shared" si="34"/>
        <v/>
      </c>
      <c r="AC226" s="11"/>
      <c r="AD226" s="11"/>
      <c r="AE226" s="12" t="str">
        <f t="shared" si="35"/>
        <v/>
      </c>
    </row>
    <row r="227" spans="2:31" x14ac:dyDescent="0.25">
      <c r="B227" s="9"/>
      <c r="C227" t="s">
        <v>31</v>
      </c>
      <c r="D227" s="9" t="str">
        <f>IF($A227="","",1*'Material Costs'!$D$3)</f>
        <v/>
      </c>
      <c r="E227" s="9" t="str">
        <f>IF($A227="","",1*'Material Costs'!$D$2)</f>
        <v/>
      </c>
      <c r="F227" s="9" t="str">
        <f>IF($A227="","",IF($C227="Bubble Mailer",2,1)*'Material Costs'!$D$6)</f>
        <v/>
      </c>
      <c r="G227" s="9" t="str">
        <f>IF($A227="","",1*'Material Costs'!$D$7)</f>
        <v/>
      </c>
      <c r="H227" s="9" t="str">
        <f>IF($A227="","",IF($C227="Bubble Mailer",1,0)*'Material Costs'!$D$5)</f>
        <v/>
      </c>
      <c r="I227" s="9" t="str">
        <f>IF($A227="","",IF($C227="ESE (Ding Defend)",1,0)*'Material Costs'!$D$4)</f>
        <v/>
      </c>
      <c r="J227" s="9"/>
      <c r="K227" s="9" t="str">
        <f t="shared" si="27"/>
        <v/>
      </c>
      <c r="L227" s="9"/>
      <c r="M227" s="9"/>
      <c r="N227" s="9"/>
      <c r="O227" s="9" t="str">
        <f t="shared" si="28"/>
        <v/>
      </c>
      <c r="P227" s="9"/>
      <c r="Q227" s="9" t="str">
        <f>IF($A227="","",IF($O227="", "", ROUND($O227*Settings!$B$2+Settings!$B$3,2)))</f>
        <v/>
      </c>
      <c r="R227" s="9" t="str">
        <f>IF($A227="","",IF($L227="", "", Settings!$B$4))</f>
        <v/>
      </c>
      <c r="S227" s="9" t="str">
        <f t="shared" si="29"/>
        <v/>
      </c>
      <c r="T227" s="9" t="str">
        <f t="shared" si="30"/>
        <v/>
      </c>
      <c r="U227" s="9" t="str">
        <f>IF($A227="","",IF($K227="", "", ROUND((($K227 + Settings!$B$3 + $R227) - IF($M227="",0,$M227))/(1-Settings!$B$2),2)))</f>
        <v/>
      </c>
      <c r="V227" s="9" t="str">
        <f>IF($A227="","",$L227-($L227*Settings!$B$2)-$J227-($B227+SUM($D227:$I227)))</f>
        <v/>
      </c>
      <c r="W227" s="9" t="str">
        <f>IF($A227="","",(($B227+SUM($D227:$I227)+$J227+Settings!$B$3)/(1-Settings!$B$2))-$M227)</f>
        <v/>
      </c>
      <c r="X227" s="10" t="str">
        <f t="shared" si="31"/>
        <v/>
      </c>
      <c r="Y227" s="10" t="str">
        <f t="shared" si="32"/>
        <v/>
      </c>
      <c r="Z227" s="10" t="str">
        <f t="shared" si="33"/>
        <v/>
      </c>
      <c r="AA227" s="10" t="str">
        <f t="shared" si="34"/>
        <v/>
      </c>
      <c r="AC227" s="11"/>
      <c r="AD227" s="11"/>
      <c r="AE227" s="12" t="str">
        <f t="shared" si="35"/>
        <v/>
      </c>
    </row>
    <row r="228" spans="2:31" x14ac:dyDescent="0.25">
      <c r="B228" s="9"/>
      <c r="C228" t="s">
        <v>31</v>
      </c>
      <c r="D228" s="9" t="str">
        <f>IF($A228="","",1*'Material Costs'!$D$3)</f>
        <v/>
      </c>
      <c r="E228" s="9" t="str">
        <f>IF($A228="","",1*'Material Costs'!$D$2)</f>
        <v/>
      </c>
      <c r="F228" s="9" t="str">
        <f>IF($A228="","",IF($C228="Bubble Mailer",2,1)*'Material Costs'!$D$6)</f>
        <v/>
      </c>
      <c r="G228" s="9" t="str">
        <f>IF($A228="","",1*'Material Costs'!$D$7)</f>
        <v/>
      </c>
      <c r="H228" s="9" t="str">
        <f>IF($A228="","",IF($C228="Bubble Mailer",1,0)*'Material Costs'!$D$5)</f>
        <v/>
      </c>
      <c r="I228" s="9" t="str">
        <f>IF($A228="","",IF($C228="ESE (Ding Defend)",1,0)*'Material Costs'!$D$4)</f>
        <v/>
      </c>
      <c r="J228" s="9"/>
      <c r="K228" s="9" t="str">
        <f t="shared" si="27"/>
        <v/>
      </c>
      <c r="L228" s="9"/>
      <c r="M228" s="9"/>
      <c r="N228" s="9"/>
      <c r="O228" s="9" t="str">
        <f t="shared" si="28"/>
        <v/>
      </c>
      <c r="P228" s="9"/>
      <c r="Q228" s="9" t="str">
        <f>IF($A228="","",IF($O228="", "", ROUND($O228*Settings!$B$2+Settings!$B$3,2)))</f>
        <v/>
      </c>
      <c r="R228" s="9" t="str">
        <f>IF($A228="","",IF($L228="", "", Settings!$B$4))</f>
        <v/>
      </c>
      <c r="S228" s="9" t="str">
        <f t="shared" si="29"/>
        <v/>
      </c>
      <c r="T228" s="9" t="str">
        <f t="shared" si="30"/>
        <v/>
      </c>
      <c r="U228" s="9" t="str">
        <f>IF($A228="","",IF($K228="", "", ROUND((($K228 + Settings!$B$3 + $R228) - IF($M228="",0,$M228))/(1-Settings!$B$2),2)))</f>
        <v/>
      </c>
      <c r="V228" s="9" t="str">
        <f>IF($A228="","",$L228-($L228*Settings!$B$2)-$J228-($B228+SUM($D228:$I228)))</f>
        <v/>
      </c>
      <c r="W228" s="9" t="str">
        <f>IF($A228="","",(($B228+SUM($D228:$I228)+$J228+Settings!$B$3)/(1-Settings!$B$2))-$M228)</f>
        <v/>
      </c>
      <c r="X228" s="10" t="str">
        <f t="shared" si="31"/>
        <v/>
      </c>
      <c r="Y228" s="10" t="str">
        <f t="shared" si="32"/>
        <v/>
      </c>
      <c r="Z228" s="10" t="str">
        <f t="shared" si="33"/>
        <v/>
      </c>
      <c r="AA228" s="10" t="str">
        <f t="shared" si="34"/>
        <v/>
      </c>
      <c r="AC228" s="11"/>
      <c r="AD228" s="11"/>
      <c r="AE228" s="12" t="str">
        <f t="shared" si="35"/>
        <v/>
      </c>
    </row>
    <row r="229" spans="2:31" x14ac:dyDescent="0.25">
      <c r="B229" s="9"/>
      <c r="C229" t="s">
        <v>31</v>
      </c>
      <c r="D229" s="9" t="str">
        <f>IF($A229="","",1*'Material Costs'!$D$3)</f>
        <v/>
      </c>
      <c r="E229" s="9" t="str">
        <f>IF($A229="","",1*'Material Costs'!$D$2)</f>
        <v/>
      </c>
      <c r="F229" s="9" t="str">
        <f>IF($A229="","",IF($C229="Bubble Mailer",2,1)*'Material Costs'!$D$6)</f>
        <v/>
      </c>
      <c r="G229" s="9" t="str">
        <f>IF($A229="","",1*'Material Costs'!$D$7)</f>
        <v/>
      </c>
      <c r="H229" s="9" t="str">
        <f>IF($A229="","",IF($C229="Bubble Mailer",1,0)*'Material Costs'!$D$5)</f>
        <v/>
      </c>
      <c r="I229" s="9" t="str">
        <f>IF($A229="","",IF($C229="ESE (Ding Defend)",1,0)*'Material Costs'!$D$4)</f>
        <v/>
      </c>
      <c r="J229" s="9"/>
      <c r="K229" s="9" t="str">
        <f t="shared" si="27"/>
        <v/>
      </c>
      <c r="L229" s="9"/>
      <c r="M229" s="9"/>
      <c r="N229" s="9"/>
      <c r="O229" s="9" t="str">
        <f t="shared" si="28"/>
        <v/>
      </c>
      <c r="P229" s="9"/>
      <c r="Q229" s="9" t="str">
        <f>IF($A229="","",IF($O229="", "", ROUND($O229*Settings!$B$2+Settings!$B$3,2)))</f>
        <v/>
      </c>
      <c r="R229" s="9" t="str">
        <f>IF($A229="","",IF($L229="", "", Settings!$B$4))</f>
        <v/>
      </c>
      <c r="S229" s="9" t="str">
        <f t="shared" si="29"/>
        <v/>
      </c>
      <c r="T229" s="9" t="str">
        <f t="shared" si="30"/>
        <v/>
      </c>
      <c r="U229" s="9" t="str">
        <f>IF($A229="","",IF($K229="", "", ROUND((($K229 + Settings!$B$3 + $R229) - IF($M229="",0,$M229))/(1-Settings!$B$2),2)))</f>
        <v/>
      </c>
      <c r="V229" s="9" t="str">
        <f>IF($A229="","",$L229-($L229*Settings!$B$2)-$J229-($B229+SUM($D229:$I229)))</f>
        <v/>
      </c>
      <c r="W229" s="9" t="str">
        <f>IF($A229="","",(($B229+SUM($D229:$I229)+$J229+Settings!$B$3)/(1-Settings!$B$2))-$M229)</f>
        <v/>
      </c>
      <c r="X229" s="10" t="str">
        <f t="shared" si="31"/>
        <v/>
      </c>
      <c r="Y229" s="10" t="str">
        <f t="shared" si="32"/>
        <v/>
      </c>
      <c r="Z229" s="10" t="str">
        <f t="shared" si="33"/>
        <v/>
      </c>
      <c r="AA229" s="10" t="str">
        <f t="shared" si="34"/>
        <v/>
      </c>
      <c r="AC229" s="11"/>
      <c r="AD229" s="11"/>
      <c r="AE229" s="12" t="str">
        <f t="shared" si="35"/>
        <v/>
      </c>
    </row>
    <row r="230" spans="2:31" x14ac:dyDescent="0.25">
      <c r="B230" s="9"/>
      <c r="C230" t="s">
        <v>31</v>
      </c>
      <c r="D230" s="9" t="str">
        <f>IF($A230="","",1*'Material Costs'!$D$3)</f>
        <v/>
      </c>
      <c r="E230" s="9" t="str">
        <f>IF($A230="","",1*'Material Costs'!$D$2)</f>
        <v/>
      </c>
      <c r="F230" s="9" t="str">
        <f>IF($A230="","",IF($C230="Bubble Mailer",2,1)*'Material Costs'!$D$6)</f>
        <v/>
      </c>
      <c r="G230" s="9" t="str">
        <f>IF($A230="","",1*'Material Costs'!$D$7)</f>
        <v/>
      </c>
      <c r="H230" s="9" t="str">
        <f>IF($A230="","",IF($C230="Bubble Mailer",1,0)*'Material Costs'!$D$5)</f>
        <v/>
      </c>
      <c r="I230" s="9" t="str">
        <f>IF($A230="","",IF($C230="ESE (Ding Defend)",1,0)*'Material Costs'!$D$4)</f>
        <v/>
      </c>
      <c r="J230" s="9"/>
      <c r="K230" s="9" t="str">
        <f t="shared" si="27"/>
        <v/>
      </c>
      <c r="L230" s="9"/>
      <c r="M230" s="9"/>
      <c r="N230" s="9"/>
      <c r="O230" s="9" t="str">
        <f t="shared" si="28"/>
        <v/>
      </c>
      <c r="P230" s="9"/>
      <c r="Q230" s="9" t="str">
        <f>IF($A230="","",IF($O230="", "", ROUND($O230*Settings!$B$2+Settings!$B$3,2)))</f>
        <v/>
      </c>
      <c r="R230" s="9" t="str">
        <f>IF($A230="","",IF($L230="", "", Settings!$B$4))</f>
        <v/>
      </c>
      <c r="S230" s="9" t="str">
        <f t="shared" si="29"/>
        <v/>
      </c>
      <c r="T230" s="9" t="str">
        <f t="shared" si="30"/>
        <v/>
      </c>
      <c r="U230" s="9" t="str">
        <f>IF($A230="","",IF($K230="", "", ROUND((($K230 + Settings!$B$3 + $R230) - IF($M230="",0,$M230))/(1-Settings!$B$2),2)))</f>
        <v/>
      </c>
      <c r="V230" s="9" t="str">
        <f>IF($A230="","",$L230-($L230*Settings!$B$2)-$J230-($B230+SUM($D230:$I230)))</f>
        <v/>
      </c>
      <c r="W230" s="9" t="str">
        <f>IF($A230="","",(($B230+SUM($D230:$I230)+$J230+Settings!$B$3)/(1-Settings!$B$2))-$M230)</f>
        <v/>
      </c>
      <c r="X230" s="10" t="str">
        <f t="shared" si="31"/>
        <v/>
      </c>
      <c r="Y230" s="10" t="str">
        <f t="shared" si="32"/>
        <v/>
      </c>
      <c r="Z230" s="10" t="str">
        <f t="shared" si="33"/>
        <v/>
      </c>
      <c r="AA230" s="10" t="str">
        <f t="shared" si="34"/>
        <v/>
      </c>
      <c r="AC230" s="11"/>
      <c r="AD230" s="11"/>
      <c r="AE230" s="12" t="str">
        <f t="shared" si="35"/>
        <v/>
      </c>
    </row>
    <row r="231" spans="2:31" x14ac:dyDescent="0.25">
      <c r="B231" s="9"/>
      <c r="C231" t="s">
        <v>31</v>
      </c>
      <c r="D231" s="9" t="str">
        <f>IF($A231="","",1*'Material Costs'!$D$3)</f>
        <v/>
      </c>
      <c r="E231" s="9" t="str">
        <f>IF($A231="","",1*'Material Costs'!$D$2)</f>
        <v/>
      </c>
      <c r="F231" s="9" t="str">
        <f>IF($A231="","",IF($C231="Bubble Mailer",2,1)*'Material Costs'!$D$6)</f>
        <v/>
      </c>
      <c r="G231" s="9" t="str">
        <f>IF($A231="","",1*'Material Costs'!$D$7)</f>
        <v/>
      </c>
      <c r="H231" s="9" t="str">
        <f>IF($A231="","",IF($C231="Bubble Mailer",1,0)*'Material Costs'!$D$5)</f>
        <v/>
      </c>
      <c r="I231" s="9" t="str">
        <f>IF($A231="","",IF($C231="ESE (Ding Defend)",1,0)*'Material Costs'!$D$4)</f>
        <v/>
      </c>
      <c r="J231" s="9"/>
      <c r="K231" s="9" t="str">
        <f t="shared" si="27"/>
        <v/>
      </c>
      <c r="L231" s="9"/>
      <c r="M231" s="9"/>
      <c r="N231" s="9"/>
      <c r="O231" s="9" t="str">
        <f t="shared" si="28"/>
        <v/>
      </c>
      <c r="P231" s="9"/>
      <c r="Q231" s="9" t="str">
        <f>IF($A231="","",IF($O231="", "", ROUND($O231*Settings!$B$2+Settings!$B$3,2)))</f>
        <v/>
      </c>
      <c r="R231" s="9" t="str">
        <f>IF($A231="","",IF($L231="", "", Settings!$B$4))</f>
        <v/>
      </c>
      <c r="S231" s="9" t="str">
        <f t="shared" si="29"/>
        <v/>
      </c>
      <c r="T231" s="9" t="str">
        <f t="shared" si="30"/>
        <v/>
      </c>
      <c r="U231" s="9" t="str">
        <f>IF($A231="","",IF($K231="", "", ROUND((($K231 + Settings!$B$3 + $R231) - IF($M231="",0,$M231))/(1-Settings!$B$2),2)))</f>
        <v/>
      </c>
      <c r="V231" s="9" t="str">
        <f>IF($A231="","",$L231-($L231*Settings!$B$2)-$J231-($B231+SUM($D231:$I231)))</f>
        <v/>
      </c>
      <c r="W231" s="9" t="str">
        <f>IF($A231="","",(($B231+SUM($D231:$I231)+$J231+Settings!$B$3)/(1-Settings!$B$2))-$M231)</f>
        <v/>
      </c>
      <c r="X231" s="10" t="str">
        <f t="shared" si="31"/>
        <v/>
      </c>
      <c r="Y231" s="10" t="str">
        <f t="shared" si="32"/>
        <v/>
      </c>
      <c r="Z231" s="10" t="str">
        <f t="shared" si="33"/>
        <v/>
      </c>
      <c r="AA231" s="10" t="str">
        <f t="shared" si="34"/>
        <v/>
      </c>
      <c r="AC231" s="11"/>
      <c r="AD231" s="11"/>
      <c r="AE231" s="12" t="str">
        <f t="shared" si="35"/>
        <v/>
      </c>
    </row>
    <row r="232" spans="2:31" x14ac:dyDescent="0.25">
      <c r="B232" s="9"/>
      <c r="C232" t="s">
        <v>31</v>
      </c>
      <c r="D232" s="9" t="str">
        <f>IF($A232="","",1*'Material Costs'!$D$3)</f>
        <v/>
      </c>
      <c r="E232" s="9" t="str">
        <f>IF($A232="","",1*'Material Costs'!$D$2)</f>
        <v/>
      </c>
      <c r="F232" s="9" t="str">
        <f>IF($A232="","",IF($C232="Bubble Mailer",2,1)*'Material Costs'!$D$6)</f>
        <v/>
      </c>
      <c r="G232" s="9" t="str">
        <f>IF($A232="","",1*'Material Costs'!$D$7)</f>
        <v/>
      </c>
      <c r="H232" s="9" t="str">
        <f>IF($A232="","",IF($C232="Bubble Mailer",1,0)*'Material Costs'!$D$5)</f>
        <v/>
      </c>
      <c r="I232" s="9" t="str">
        <f>IF($A232="","",IF($C232="ESE (Ding Defend)",1,0)*'Material Costs'!$D$4)</f>
        <v/>
      </c>
      <c r="J232" s="9"/>
      <c r="K232" s="9" t="str">
        <f t="shared" si="27"/>
        <v/>
      </c>
      <c r="L232" s="9"/>
      <c r="M232" s="9"/>
      <c r="N232" s="9"/>
      <c r="O232" s="9" t="str">
        <f t="shared" si="28"/>
        <v/>
      </c>
      <c r="P232" s="9"/>
      <c r="Q232" s="9" t="str">
        <f>IF($A232="","",IF($O232="", "", ROUND($O232*Settings!$B$2+Settings!$B$3,2)))</f>
        <v/>
      </c>
      <c r="R232" s="9" t="str">
        <f>IF($A232="","",IF($L232="", "", Settings!$B$4))</f>
        <v/>
      </c>
      <c r="S232" s="9" t="str">
        <f t="shared" si="29"/>
        <v/>
      </c>
      <c r="T232" s="9" t="str">
        <f t="shared" si="30"/>
        <v/>
      </c>
      <c r="U232" s="9" t="str">
        <f>IF($A232="","",IF($K232="", "", ROUND((($K232 + Settings!$B$3 + $R232) - IF($M232="",0,$M232))/(1-Settings!$B$2),2)))</f>
        <v/>
      </c>
      <c r="V232" s="9" t="str">
        <f>IF($A232="","",$L232-($L232*Settings!$B$2)-$J232-($B232+SUM($D232:$I232)))</f>
        <v/>
      </c>
      <c r="W232" s="9" t="str">
        <f>IF($A232="","",(($B232+SUM($D232:$I232)+$J232+Settings!$B$3)/(1-Settings!$B$2))-$M232)</f>
        <v/>
      </c>
      <c r="X232" s="10" t="str">
        <f t="shared" si="31"/>
        <v/>
      </c>
      <c r="Y232" s="10" t="str">
        <f t="shared" si="32"/>
        <v/>
      </c>
      <c r="Z232" s="10" t="str">
        <f t="shared" si="33"/>
        <v/>
      </c>
      <c r="AA232" s="10" t="str">
        <f t="shared" si="34"/>
        <v/>
      </c>
      <c r="AC232" s="11"/>
      <c r="AD232" s="11"/>
      <c r="AE232" s="12" t="str">
        <f t="shared" si="35"/>
        <v/>
      </c>
    </row>
    <row r="233" spans="2:31" x14ac:dyDescent="0.25">
      <c r="B233" s="9"/>
      <c r="C233" t="s">
        <v>31</v>
      </c>
      <c r="D233" s="9" t="str">
        <f>IF($A233="","",1*'Material Costs'!$D$3)</f>
        <v/>
      </c>
      <c r="E233" s="9" t="str">
        <f>IF($A233="","",1*'Material Costs'!$D$2)</f>
        <v/>
      </c>
      <c r="F233" s="9" t="str">
        <f>IF($A233="","",IF($C233="Bubble Mailer",2,1)*'Material Costs'!$D$6)</f>
        <v/>
      </c>
      <c r="G233" s="9" t="str">
        <f>IF($A233="","",1*'Material Costs'!$D$7)</f>
        <v/>
      </c>
      <c r="H233" s="9" t="str">
        <f>IF($A233="","",IF($C233="Bubble Mailer",1,0)*'Material Costs'!$D$5)</f>
        <v/>
      </c>
      <c r="I233" s="9" t="str">
        <f>IF($A233="","",IF($C233="ESE (Ding Defend)",1,0)*'Material Costs'!$D$4)</f>
        <v/>
      </c>
      <c r="J233" s="9"/>
      <c r="K233" s="9" t="str">
        <f t="shared" si="27"/>
        <v/>
      </c>
      <c r="L233" s="9"/>
      <c r="M233" s="9"/>
      <c r="N233" s="9"/>
      <c r="O233" s="9" t="str">
        <f t="shared" si="28"/>
        <v/>
      </c>
      <c r="P233" s="9"/>
      <c r="Q233" s="9" t="str">
        <f>IF($A233="","",IF($O233="", "", ROUND($O233*Settings!$B$2+Settings!$B$3,2)))</f>
        <v/>
      </c>
      <c r="R233" s="9" t="str">
        <f>IF($A233="","",IF($L233="", "", Settings!$B$4))</f>
        <v/>
      </c>
      <c r="S233" s="9" t="str">
        <f t="shared" si="29"/>
        <v/>
      </c>
      <c r="T233" s="9" t="str">
        <f t="shared" si="30"/>
        <v/>
      </c>
      <c r="U233" s="9" t="str">
        <f>IF($A233="","",IF($K233="", "", ROUND((($K233 + Settings!$B$3 + $R233) - IF($M233="",0,$M233))/(1-Settings!$B$2),2)))</f>
        <v/>
      </c>
      <c r="V233" s="9" t="str">
        <f>IF($A233="","",$L233-($L233*Settings!$B$2)-$J233-($B233+SUM($D233:$I233)))</f>
        <v/>
      </c>
      <c r="W233" s="9" t="str">
        <f>IF($A233="","",(($B233+SUM($D233:$I233)+$J233+Settings!$B$3)/(1-Settings!$B$2))-$M233)</f>
        <v/>
      </c>
      <c r="X233" s="10" t="str">
        <f t="shared" si="31"/>
        <v/>
      </c>
      <c r="Y233" s="10" t="str">
        <f t="shared" si="32"/>
        <v/>
      </c>
      <c r="Z233" s="10" t="str">
        <f t="shared" si="33"/>
        <v/>
      </c>
      <c r="AA233" s="10" t="str">
        <f t="shared" si="34"/>
        <v/>
      </c>
      <c r="AC233" s="11"/>
      <c r="AD233" s="11"/>
      <c r="AE233" s="12" t="str">
        <f t="shared" si="35"/>
        <v/>
      </c>
    </row>
    <row r="234" spans="2:31" x14ac:dyDescent="0.25">
      <c r="B234" s="9"/>
      <c r="C234" t="s">
        <v>31</v>
      </c>
      <c r="D234" s="9" t="str">
        <f>IF($A234="","",1*'Material Costs'!$D$3)</f>
        <v/>
      </c>
      <c r="E234" s="9" t="str">
        <f>IF($A234="","",1*'Material Costs'!$D$2)</f>
        <v/>
      </c>
      <c r="F234" s="9" t="str">
        <f>IF($A234="","",IF($C234="Bubble Mailer",2,1)*'Material Costs'!$D$6)</f>
        <v/>
      </c>
      <c r="G234" s="9" t="str">
        <f>IF($A234="","",1*'Material Costs'!$D$7)</f>
        <v/>
      </c>
      <c r="H234" s="9" t="str">
        <f>IF($A234="","",IF($C234="Bubble Mailer",1,0)*'Material Costs'!$D$5)</f>
        <v/>
      </c>
      <c r="I234" s="9" t="str">
        <f>IF($A234="","",IF($C234="ESE (Ding Defend)",1,0)*'Material Costs'!$D$4)</f>
        <v/>
      </c>
      <c r="J234" s="9"/>
      <c r="K234" s="9" t="str">
        <f t="shared" si="27"/>
        <v/>
      </c>
      <c r="L234" s="9"/>
      <c r="M234" s="9"/>
      <c r="N234" s="9"/>
      <c r="O234" s="9" t="str">
        <f t="shared" si="28"/>
        <v/>
      </c>
      <c r="P234" s="9"/>
      <c r="Q234" s="9" t="str">
        <f>IF($A234="","",IF($O234="", "", ROUND($O234*Settings!$B$2+Settings!$B$3,2)))</f>
        <v/>
      </c>
      <c r="R234" s="9" t="str">
        <f>IF($A234="","",IF($L234="", "", Settings!$B$4))</f>
        <v/>
      </c>
      <c r="S234" s="9" t="str">
        <f t="shared" si="29"/>
        <v/>
      </c>
      <c r="T234" s="9" t="str">
        <f t="shared" si="30"/>
        <v/>
      </c>
      <c r="U234" s="9" t="str">
        <f>IF($A234="","",IF($K234="", "", ROUND((($K234 + Settings!$B$3 + $R234) - IF($M234="",0,$M234))/(1-Settings!$B$2),2)))</f>
        <v/>
      </c>
      <c r="V234" s="9" t="str">
        <f>IF($A234="","",$L234-($L234*Settings!$B$2)-$J234-($B234+SUM($D234:$I234)))</f>
        <v/>
      </c>
      <c r="W234" s="9" t="str">
        <f>IF($A234="","",(($B234+SUM($D234:$I234)+$J234+Settings!$B$3)/(1-Settings!$B$2))-$M234)</f>
        <v/>
      </c>
      <c r="X234" s="10" t="str">
        <f t="shared" si="31"/>
        <v/>
      </c>
      <c r="Y234" s="10" t="str">
        <f t="shared" si="32"/>
        <v/>
      </c>
      <c r="Z234" s="10" t="str">
        <f t="shared" si="33"/>
        <v/>
      </c>
      <c r="AA234" s="10" t="str">
        <f t="shared" si="34"/>
        <v/>
      </c>
      <c r="AC234" s="11"/>
      <c r="AD234" s="11"/>
      <c r="AE234" s="12" t="str">
        <f t="shared" si="35"/>
        <v/>
      </c>
    </row>
    <row r="235" spans="2:31" x14ac:dyDescent="0.25">
      <c r="B235" s="9"/>
      <c r="C235" t="s">
        <v>31</v>
      </c>
      <c r="D235" s="9" t="str">
        <f>IF($A235="","",1*'Material Costs'!$D$3)</f>
        <v/>
      </c>
      <c r="E235" s="9" t="str">
        <f>IF($A235="","",1*'Material Costs'!$D$2)</f>
        <v/>
      </c>
      <c r="F235" s="9" t="str">
        <f>IF($A235="","",IF($C235="Bubble Mailer",2,1)*'Material Costs'!$D$6)</f>
        <v/>
      </c>
      <c r="G235" s="9" t="str">
        <f>IF($A235="","",1*'Material Costs'!$D$7)</f>
        <v/>
      </c>
      <c r="H235" s="9" t="str">
        <f>IF($A235="","",IF($C235="Bubble Mailer",1,0)*'Material Costs'!$D$5)</f>
        <v/>
      </c>
      <c r="I235" s="9" t="str">
        <f>IF($A235="","",IF($C235="ESE (Ding Defend)",1,0)*'Material Costs'!$D$4)</f>
        <v/>
      </c>
      <c r="J235" s="9"/>
      <c r="K235" s="9" t="str">
        <f t="shared" si="27"/>
        <v/>
      </c>
      <c r="L235" s="9"/>
      <c r="M235" s="9"/>
      <c r="N235" s="9"/>
      <c r="O235" s="9" t="str">
        <f t="shared" si="28"/>
        <v/>
      </c>
      <c r="P235" s="9"/>
      <c r="Q235" s="9" t="str">
        <f>IF($A235="","",IF($O235="", "", ROUND($O235*Settings!$B$2+Settings!$B$3,2)))</f>
        <v/>
      </c>
      <c r="R235" s="9" t="str">
        <f>IF($A235="","",IF($L235="", "", Settings!$B$4))</f>
        <v/>
      </c>
      <c r="S235" s="9" t="str">
        <f t="shared" si="29"/>
        <v/>
      </c>
      <c r="T235" s="9" t="str">
        <f t="shared" si="30"/>
        <v/>
      </c>
      <c r="U235" s="9" t="str">
        <f>IF($A235="","",IF($K235="", "", ROUND((($K235 + Settings!$B$3 + $R235) - IF($M235="",0,$M235))/(1-Settings!$B$2),2)))</f>
        <v/>
      </c>
      <c r="V235" s="9" t="str">
        <f>IF($A235="","",$L235-($L235*Settings!$B$2)-$J235-($B235+SUM($D235:$I235)))</f>
        <v/>
      </c>
      <c r="W235" s="9" t="str">
        <f>IF($A235="","",(($B235+SUM($D235:$I235)+$J235+Settings!$B$3)/(1-Settings!$B$2))-$M235)</f>
        <v/>
      </c>
      <c r="X235" s="10" t="str">
        <f t="shared" si="31"/>
        <v/>
      </c>
      <c r="Y235" s="10" t="str">
        <f t="shared" si="32"/>
        <v/>
      </c>
      <c r="Z235" s="10" t="str">
        <f t="shared" si="33"/>
        <v/>
      </c>
      <c r="AA235" s="10" t="str">
        <f t="shared" si="34"/>
        <v/>
      </c>
      <c r="AC235" s="11"/>
      <c r="AD235" s="11"/>
      <c r="AE235" s="12" t="str">
        <f t="shared" si="35"/>
        <v/>
      </c>
    </row>
    <row r="236" spans="2:31" x14ac:dyDescent="0.25">
      <c r="B236" s="9"/>
      <c r="C236" t="s">
        <v>31</v>
      </c>
      <c r="D236" s="9" t="str">
        <f>IF($A236="","",1*'Material Costs'!$D$3)</f>
        <v/>
      </c>
      <c r="E236" s="9" t="str">
        <f>IF($A236="","",1*'Material Costs'!$D$2)</f>
        <v/>
      </c>
      <c r="F236" s="9" t="str">
        <f>IF($A236="","",IF($C236="Bubble Mailer",2,1)*'Material Costs'!$D$6)</f>
        <v/>
      </c>
      <c r="G236" s="9" t="str">
        <f>IF($A236="","",1*'Material Costs'!$D$7)</f>
        <v/>
      </c>
      <c r="H236" s="9" t="str">
        <f>IF($A236="","",IF($C236="Bubble Mailer",1,0)*'Material Costs'!$D$5)</f>
        <v/>
      </c>
      <c r="I236" s="9" t="str">
        <f>IF($A236="","",IF($C236="ESE (Ding Defend)",1,0)*'Material Costs'!$D$4)</f>
        <v/>
      </c>
      <c r="J236" s="9"/>
      <c r="K236" s="9" t="str">
        <f t="shared" si="27"/>
        <v/>
      </c>
      <c r="L236" s="9"/>
      <c r="M236" s="9"/>
      <c r="N236" s="9"/>
      <c r="O236" s="9" t="str">
        <f t="shared" si="28"/>
        <v/>
      </c>
      <c r="P236" s="9"/>
      <c r="Q236" s="9" t="str">
        <f>IF($A236="","",IF($O236="", "", ROUND($O236*Settings!$B$2+Settings!$B$3,2)))</f>
        <v/>
      </c>
      <c r="R236" s="9" t="str">
        <f>IF($A236="","",IF($L236="", "", Settings!$B$4))</f>
        <v/>
      </c>
      <c r="S236" s="9" t="str">
        <f t="shared" si="29"/>
        <v/>
      </c>
      <c r="T236" s="9" t="str">
        <f t="shared" si="30"/>
        <v/>
      </c>
      <c r="U236" s="9" t="str">
        <f>IF($A236="","",IF($K236="", "", ROUND((($K236 + Settings!$B$3 + $R236) - IF($M236="",0,$M236))/(1-Settings!$B$2),2)))</f>
        <v/>
      </c>
      <c r="V236" s="9" t="str">
        <f>IF($A236="","",$L236-($L236*Settings!$B$2)-$J236-($B236+SUM($D236:$I236)))</f>
        <v/>
      </c>
      <c r="W236" s="9" t="str">
        <f>IF($A236="","",(($B236+SUM($D236:$I236)+$J236+Settings!$B$3)/(1-Settings!$B$2))-$M236)</f>
        <v/>
      </c>
      <c r="X236" s="10" t="str">
        <f t="shared" si="31"/>
        <v/>
      </c>
      <c r="Y236" s="10" t="str">
        <f t="shared" si="32"/>
        <v/>
      </c>
      <c r="Z236" s="10" t="str">
        <f t="shared" si="33"/>
        <v/>
      </c>
      <c r="AA236" s="10" t="str">
        <f t="shared" si="34"/>
        <v/>
      </c>
      <c r="AC236" s="11"/>
      <c r="AD236" s="11"/>
      <c r="AE236" s="12" t="str">
        <f t="shared" si="35"/>
        <v/>
      </c>
    </row>
    <row r="237" spans="2:31" x14ac:dyDescent="0.25">
      <c r="B237" s="9"/>
      <c r="C237" t="s">
        <v>31</v>
      </c>
      <c r="D237" s="9" t="str">
        <f>IF($A237="","",1*'Material Costs'!$D$3)</f>
        <v/>
      </c>
      <c r="E237" s="9" t="str">
        <f>IF($A237="","",1*'Material Costs'!$D$2)</f>
        <v/>
      </c>
      <c r="F237" s="9" t="str">
        <f>IF($A237="","",IF($C237="Bubble Mailer",2,1)*'Material Costs'!$D$6)</f>
        <v/>
      </c>
      <c r="G237" s="9" t="str">
        <f>IF($A237="","",1*'Material Costs'!$D$7)</f>
        <v/>
      </c>
      <c r="H237" s="9" t="str">
        <f>IF($A237="","",IF($C237="Bubble Mailer",1,0)*'Material Costs'!$D$5)</f>
        <v/>
      </c>
      <c r="I237" s="9" t="str">
        <f>IF($A237="","",IF($C237="ESE (Ding Defend)",1,0)*'Material Costs'!$D$4)</f>
        <v/>
      </c>
      <c r="J237" s="9"/>
      <c r="K237" s="9" t="str">
        <f t="shared" si="27"/>
        <v/>
      </c>
      <c r="L237" s="9"/>
      <c r="M237" s="9"/>
      <c r="N237" s="9"/>
      <c r="O237" s="9" t="str">
        <f t="shared" si="28"/>
        <v/>
      </c>
      <c r="P237" s="9"/>
      <c r="Q237" s="9" t="str">
        <f>IF($A237="","",IF($O237="", "", ROUND($O237*Settings!$B$2+Settings!$B$3,2)))</f>
        <v/>
      </c>
      <c r="R237" s="9" t="str">
        <f>IF($A237="","",IF($L237="", "", Settings!$B$4))</f>
        <v/>
      </c>
      <c r="S237" s="9" t="str">
        <f t="shared" si="29"/>
        <v/>
      </c>
      <c r="T237" s="9" t="str">
        <f t="shared" si="30"/>
        <v/>
      </c>
      <c r="U237" s="9" t="str">
        <f>IF($A237="","",IF($K237="", "", ROUND((($K237 + Settings!$B$3 + $R237) - IF($M237="",0,$M237))/(1-Settings!$B$2),2)))</f>
        <v/>
      </c>
      <c r="V237" s="9" t="str">
        <f>IF($A237="","",$L237-($L237*Settings!$B$2)-$J237-($B237+SUM($D237:$I237)))</f>
        <v/>
      </c>
      <c r="W237" s="9" t="str">
        <f>IF($A237="","",(($B237+SUM($D237:$I237)+$J237+Settings!$B$3)/(1-Settings!$B$2))-$M237)</f>
        <v/>
      </c>
      <c r="X237" s="10" t="str">
        <f t="shared" si="31"/>
        <v/>
      </c>
      <c r="Y237" s="10" t="str">
        <f t="shared" si="32"/>
        <v/>
      </c>
      <c r="Z237" s="10" t="str">
        <f t="shared" si="33"/>
        <v/>
      </c>
      <c r="AA237" s="10" t="str">
        <f t="shared" si="34"/>
        <v/>
      </c>
      <c r="AC237" s="11"/>
      <c r="AD237" s="11"/>
      <c r="AE237" s="12" t="str">
        <f t="shared" si="35"/>
        <v/>
      </c>
    </row>
    <row r="238" spans="2:31" x14ac:dyDescent="0.25">
      <c r="B238" s="9"/>
      <c r="C238" t="s">
        <v>31</v>
      </c>
      <c r="D238" s="9" t="str">
        <f>IF($A238="","",1*'Material Costs'!$D$3)</f>
        <v/>
      </c>
      <c r="E238" s="9" t="str">
        <f>IF($A238="","",1*'Material Costs'!$D$2)</f>
        <v/>
      </c>
      <c r="F238" s="9" t="str">
        <f>IF($A238="","",IF($C238="Bubble Mailer",2,1)*'Material Costs'!$D$6)</f>
        <v/>
      </c>
      <c r="G238" s="9" t="str">
        <f>IF($A238="","",1*'Material Costs'!$D$7)</f>
        <v/>
      </c>
      <c r="H238" s="9" t="str">
        <f>IF($A238="","",IF($C238="Bubble Mailer",1,0)*'Material Costs'!$D$5)</f>
        <v/>
      </c>
      <c r="I238" s="9" t="str">
        <f>IF($A238="","",IF($C238="ESE (Ding Defend)",1,0)*'Material Costs'!$D$4)</f>
        <v/>
      </c>
      <c r="J238" s="9"/>
      <c r="K238" s="9" t="str">
        <f t="shared" si="27"/>
        <v/>
      </c>
      <c r="L238" s="9"/>
      <c r="M238" s="9"/>
      <c r="N238" s="9"/>
      <c r="O238" s="9" t="str">
        <f t="shared" si="28"/>
        <v/>
      </c>
      <c r="P238" s="9"/>
      <c r="Q238" s="9" t="str">
        <f>IF($A238="","",IF($O238="", "", ROUND($O238*Settings!$B$2+Settings!$B$3,2)))</f>
        <v/>
      </c>
      <c r="R238" s="9" t="str">
        <f>IF($A238="","",IF($L238="", "", Settings!$B$4))</f>
        <v/>
      </c>
      <c r="S238" s="9" t="str">
        <f t="shared" si="29"/>
        <v/>
      </c>
      <c r="T238" s="9" t="str">
        <f t="shared" si="30"/>
        <v/>
      </c>
      <c r="U238" s="9" t="str">
        <f>IF($A238="","",IF($K238="", "", ROUND((($K238 + Settings!$B$3 + $R238) - IF($M238="",0,$M238))/(1-Settings!$B$2),2)))</f>
        <v/>
      </c>
      <c r="V238" s="9" t="str">
        <f>IF($A238="","",$L238-($L238*Settings!$B$2)-$J238-($B238+SUM($D238:$I238)))</f>
        <v/>
      </c>
      <c r="W238" s="9" t="str">
        <f>IF($A238="","",(($B238+SUM($D238:$I238)+$J238+Settings!$B$3)/(1-Settings!$B$2))-$M238)</f>
        <v/>
      </c>
      <c r="X238" s="10" t="str">
        <f t="shared" si="31"/>
        <v/>
      </c>
      <c r="Y238" s="10" t="str">
        <f t="shared" si="32"/>
        <v/>
      </c>
      <c r="Z238" s="10" t="str">
        <f t="shared" si="33"/>
        <v/>
      </c>
      <c r="AA238" s="10" t="str">
        <f t="shared" si="34"/>
        <v/>
      </c>
      <c r="AC238" s="11"/>
      <c r="AD238" s="11"/>
      <c r="AE238" s="12" t="str">
        <f t="shared" si="35"/>
        <v/>
      </c>
    </row>
    <row r="239" spans="2:31" x14ac:dyDescent="0.25">
      <c r="B239" s="9"/>
      <c r="C239" t="s">
        <v>31</v>
      </c>
      <c r="D239" s="9" t="str">
        <f>IF($A239="","",1*'Material Costs'!$D$3)</f>
        <v/>
      </c>
      <c r="E239" s="9" t="str">
        <f>IF($A239="","",1*'Material Costs'!$D$2)</f>
        <v/>
      </c>
      <c r="F239" s="9" t="str">
        <f>IF($A239="","",IF($C239="Bubble Mailer",2,1)*'Material Costs'!$D$6)</f>
        <v/>
      </c>
      <c r="G239" s="9" t="str">
        <f>IF($A239="","",1*'Material Costs'!$D$7)</f>
        <v/>
      </c>
      <c r="H239" s="9" t="str">
        <f>IF($A239="","",IF($C239="Bubble Mailer",1,0)*'Material Costs'!$D$5)</f>
        <v/>
      </c>
      <c r="I239" s="9" t="str">
        <f>IF($A239="","",IF($C239="ESE (Ding Defend)",1,0)*'Material Costs'!$D$4)</f>
        <v/>
      </c>
      <c r="J239" s="9"/>
      <c r="K239" s="9" t="str">
        <f t="shared" si="27"/>
        <v/>
      </c>
      <c r="L239" s="9"/>
      <c r="M239" s="9"/>
      <c r="N239" s="9"/>
      <c r="O239" s="9" t="str">
        <f t="shared" si="28"/>
        <v/>
      </c>
      <c r="P239" s="9"/>
      <c r="Q239" s="9" t="str">
        <f>IF($A239="","",IF($O239="", "", ROUND($O239*Settings!$B$2+Settings!$B$3,2)))</f>
        <v/>
      </c>
      <c r="R239" s="9" t="str">
        <f>IF($A239="","",IF($L239="", "", Settings!$B$4))</f>
        <v/>
      </c>
      <c r="S239" s="9" t="str">
        <f t="shared" si="29"/>
        <v/>
      </c>
      <c r="T239" s="9" t="str">
        <f t="shared" si="30"/>
        <v/>
      </c>
      <c r="U239" s="9" t="str">
        <f>IF($A239="","",IF($K239="", "", ROUND((($K239 + Settings!$B$3 + $R239) - IF($M239="",0,$M239))/(1-Settings!$B$2),2)))</f>
        <v/>
      </c>
      <c r="V239" s="9" t="str">
        <f>IF($A239="","",$L239-($L239*Settings!$B$2)-$J239-($B239+SUM($D239:$I239)))</f>
        <v/>
      </c>
      <c r="W239" s="9" t="str">
        <f>IF($A239="","",(($B239+SUM($D239:$I239)+$J239+Settings!$B$3)/(1-Settings!$B$2))-$M239)</f>
        <v/>
      </c>
      <c r="X239" s="10" t="str">
        <f t="shared" si="31"/>
        <v/>
      </c>
      <c r="Y239" s="10" t="str">
        <f t="shared" si="32"/>
        <v/>
      </c>
      <c r="Z239" s="10" t="str">
        <f t="shared" si="33"/>
        <v/>
      </c>
      <c r="AA239" s="10" t="str">
        <f t="shared" si="34"/>
        <v/>
      </c>
      <c r="AC239" s="11"/>
      <c r="AD239" s="11"/>
      <c r="AE239" s="12" t="str">
        <f t="shared" si="35"/>
        <v/>
      </c>
    </row>
    <row r="240" spans="2:31" x14ac:dyDescent="0.25">
      <c r="B240" s="9"/>
      <c r="C240" t="s">
        <v>31</v>
      </c>
      <c r="D240" s="9" t="str">
        <f>IF($A240="","",1*'Material Costs'!$D$3)</f>
        <v/>
      </c>
      <c r="E240" s="9" t="str">
        <f>IF($A240="","",1*'Material Costs'!$D$2)</f>
        <v/>
      </c>
      <c r="F240" s="9" t="str">
        <f>IF($A240="","",IF($C240="Bubble Mailer",2,1)*'Material Costs'!$D$6)</f>
        <v/>
      </c>
      <c r="G240" s="9" t="str">
        <f>IF($A240="","",1*'Material Costs'!$D$7)</f>
        <v/>
      </c>
      <c r="H240" s="9" t="str">
        <f>IF($A240="","",IF($C240="Bubble Mailer",1,0)*'Material Costs'!$D$5)</f>
        <v/>
      </c>
      <c r="I240" s="9" t="str">
        <f>IF($A240="","",IF($C240="ESE (Ding Defend)",1,0)*'Material Costs'!$D$4)</f>
        <v/>
      </c>
      <c r="J240" s="9"/>
      <c r="K240" s="9" t="str">
        <f t="shared" si="27"/>
        <v/>
      </c>
      <c r="L240" s="9"/>
      <c r="M240" s="9"/>
      <c r="N240" s="9"/>
      <c r="O240" s="9" t="str">
        <f t="shared" si="28"/>
        <v/>
      </c>
      <c r="P240" s="9"/>
      <c r="Q240" s="9" t="str">
        <f>IF($A240="","",IF($O240="", "", ROUND($O240*Settings!$B$2+Settings!$B$3,2)))</f>
        <v/>
      </c>
      <c r="R240" s="9" t="str">
        <f>IF($A240="","",IF($L240="", "", Settings!$B$4))</f>
        <v/>
      </c>
      <c r="S240" s="9" t="str">
        <f t="shared" si="29"/>
        <v/>
      </c>
      <c r="T240" s="9" t="str">
        <f t="shared" si="30"/>
        <v/>
      </c>
      <c r="U240" s="9" t="str">
        <f>IF($A240="","",IF($K240="", "", ROUND((($K240 + Settings!$B$3 + $R240) - IF($M240="",0,$M240))/(1-Settings!$B$2),2)))</f>
        <v/>
      </c>
      <c r="V240" s="9" t="str">
        <f>IF($A240="","",$L240-($L240*Settings!$B$2)-$J240-($B240+SUM($D240:$I240)))</f>
        <v/>
      </c>
      <c r="W240" s="9" t="str">
        <f>IF($A240="","",(($B240+SUM($D240:$I240)+$J240+Settings!$B$3)/(1-Settings!$B$2))-$M240)</f>
        <v/>
      </c>
      <c r="X240" s="10" t="str">
        <f t="shared" si="31"/>
        <v/>
      </c>
      <c r="Y240" s="10" t="str">
        <f t="shared" si="32"/>
        <v/>
      </c>
      <c r="Z240" s="10" t="str">
        <f t="shared" si="33"/>
        <v/>
      </c>
      <c r="AA240" s="10" t="str">
        <f t="shared" si="34"/>
        <v/>
      </c>
      <c r="AC240" s="11"/>
      <c r="AD240" s="11"/>
      <c r="AE240" s="12" t="str">
        <f t="shared" si="35"/>
        <v/>
      </c>
    </row>
    <row r="241" spans="2:31" x14ac:dyDescent="0.25">
      <c r="B241" s="9"/>
      <c r="C241" t="s">
        <v>31</v>
      </c>
      <c r="D241" s="9" t="str">
        <f>IF($A241="","",1*'Material Costs'!$D$3)</f>
        <v/>
      </c>
      <c r="E241" s="9" t="str">
        <f>IF($A241="","",1*'Material Costs'!$D$2)</f>
        <v/>
      </c>
      <c r="F241" s="9" t="str">
        <f>IF($A241="","",IF($C241="Bubble Mailer",2,1)*'Material Costs'!$D$6)</f>
        <v/>
      </c>
      <c r="G241" s="9" t="str">
        <f>IF($A241="","",1*'Material Costs'!$D$7)</f>
        <v/>
      </c>
      <c r="H241" s="9" t="str">
        <f>IF($A241="","",IF($C241="Bubble Mailer",1,0)*'Material Costs'!$D$5)</f>
        <v/>
      </c>
      <c r="I241" s="9" t="str">
        <f>IF($A241="","",IF($C241="ESE (Ding Defend)",1,0)*'Material Costs'!$D$4)</f>
        <v/>
      </c>
      <c r="J241" s="9"/>
      <c r="K241" s="9" t="str">
        <f t="shared" si="27"/>
        <v/>
      </c>
      <c r="L241" s="9"/>
      <c r="M241" s="9"/>
      <c r="N241" s="9"/>
      <c r="O241" s="9" t="str">
        <f t="shared" si="28"/>
        <v/>
      </c>
      <c r="P241" s="9"/>
      <c r="Q241" s="9" t="str">
        <f>IF($A241="","",IF($O241="", "", ROUND($O241*Settings!$B$2+Settings!$B$3,2)))</f>
        <v/>
      </c>
      <c r="R241" s="9" t="str">
        <f>IF($A241="","",IF($L241="", "", Settings!$B$4))</f>
        <v/>
      </c>
      <c r="S241" s="9" t="str">
        <f t="shared" si="29"/>
        <v/>
      </c>
      <c r="T241" s="9" t="str">
        <f t="shared" si="30"/>
        <v/>
      </c>
      <c r="U241" s="9" t="str">
        <f>IF($A241="","",IF($K241="", "", ROUND((($K241 + Settings!$B$3 + $R241) - IF($M241="",0,$M241))/(1-Settings!$B$2),2)))</f>
        <v/>
      </c>
      <c r="V241" s="9" t="str">
        <f>IF($A241="","",$L241-($L241*Settings!$B$2)-$J241-($B241+SUM($D241:$I241)))</f>
        <v/>
      </c>
      <c r="W241" s="9" t="str">
        <f>IF($A241="","",(($B241+SUM($D241:$I241)+$J241+Settings!$B$3)/(1-Settings!$B$2))-$M241)</f>
        <v/>
      </c>
      <c r="X241" s="10" t="str">
        <f t="shared" si="31"/>
        <v/>
      </c>
      <c r="Y241" s="10" t="str">
        <f t="shared" si="32"/>
        <v/>
      </c>
      <c r="Z241" s="10" t="str">
        <f t="shared" si="33"/>
        <v/>
      </c>
      <c r="AA241" s="10" t="str">
        <f t="shared" si="34"/>
        <v/>
      </c>
      <c r="AC241" s="11"/>
      <c r="AD241" s="11"/>
      <c r="AE241" s="12" t="str">
        <f t="shared" si="35"/>
        <v/>
      </c>
    </row>
    <row r="242" spans="2:31" x14ac:dyDescent="0.25">
      <c r="B242" s="9"/>
      <c r="C242" t="s">
        <v>31</v>
      </c>
      <c r="D242" s="9" t="str">
        <f>IF($A242="","",1*'Material Costs'!$D$3)</f>
        <v/>
      </c>
      <c r="E242" s="9" t="str">
        <f>IF($A242="","",1*'Material Costs'!$D$2)</f>
        <v/>
      </c>
      <c r="F242" s="9" t="str">
        <f>IF($A242="","",IF($C242="Bubble Mailer",2,1)*'Material Costs'!$D$6)</f>
        <v/>
      </c>
      <c r="G242" s="9" t="str">
        <f>IF($A242="","",1*'Material Costs'!$D$7)</f>
        <v/>
      </c>
      <c r="H242" s="9" t="str">
        <f>IF($A242="","",IF($C242="Bubble Mailer",1,0)*'Material Costs'!$D$5)</f>
        <v/>
      </c>
      <c r="I242" s="9" t="str">
        <f>IF($A242="","",IF($C242="ESE (Ding Defend)",1,0)*'Material Costs'!$D$4)</f>
        <v/>
      </c>
      <c r="J242" s="9"/>
      <c r="K242" s="9" t="str">
        <f t="shared" si="27"/>
        <v/>
      </c>
      <c r="L242" s="9"/>
      <c r="M242" s="9"/>
      <c r="N242" s="9"/>
      <c r="O242" s="9" t="str">
        <f t="shared" si="28"/>
        <v/>
      </c>
      <c r="P242" s="9"/>
      <c r="Q242" s="9" t="str">
        <f>IF($A242="","",IF($O242="", "", ROUND($O242*Settings!$B$2+Settings!$B$3,2)))</f>
        <v/>
      </c>
      <c r="R242" s="9" t="str">
        <f>IF($A242="","",IF($L242="", "", Settings!$B$4))</f>
        <v/>
      </c>
      <c r="S242" s="9" t="str">
        <f t="shared" si="29"/>
        <v/>
      </c>
      <c r="T242" s="9" t="str">
        <f t="shared" si="30"/>
        <v/>
      </c>
      <c r="U242" s="9" t="str">
        <f>IF($A242="","",IF($K242="", "", ROUND((($K242 + Settings!$B$3 + $R242) - IF($M242="",0,$M242))/(1-Settings!$B$2),2)))</f>
        <v/>
      </c>
      <c r="V242" s="9" t="str">
        <f>IF($A242="","",$L242-($L242*Settings!$B$2)-$J242-($B242+SUM($D242:$I242)))</f>
        <v/>
      </c>
      <c r="W242" s="9" t="str">
        <f>IF($A242="","",(($B242+SUM($D242:$I242)+$J242+Settings!$B$3)/(1-Settings!$B$2))-$M242)</f>
        <v/>
      </c>
      <c r="X242" s="10" t="str">
        <f t="shared" si="31"/>
        <v/>
      </c>
      <c r="Y242" s="10" t="str">
        <f t="shared" si="32"/>
        <v/>
      </c>
      <c r="Z242" s="10" t="str">
        <f t="shared" si="33"/>
        <v/>
      </c>
      <c r="AA242" s="10" t="str">
        <f t="shared" si="34"/>
        <v/>
      </c>
      <c r="AC242" s="11"/>
      <c r="AD242" s="11"/>
      <c r="AE242" s="12" t="str">
        <f t="shared" si="35"/>
        <v/>
      </c>
    </row>
    <row r="243" spans="2:31" x14ac:dyDescent="0.25">
      <c r="B243" s="9"/>
      <c r="C243" t="s">
        <v>31</v>
      </c>
      <c r="D243" s="9" t="str">
        <f>IF($A243="","",1*'Material Costs'!$D$3)</f>
        <v/>
      </c>
      <c r="E243" s="9" t="str">
        <f>IF($A243="","",1*'Material Costs'!$D$2)</f>
        <v/>
      </c>
      <c r="F243" s="9" t="str">
        <f>IF($A243="","",IF($C243="Bubble Mailer",2,1)*'Material Costs'!$D$6)</f>
        <v/>
      </c>
      <c r="G243" s="9" t="str">
        <f>IF($A243="","",1*'Material Costs'!$D$7)</f>
        <v/>
      </c>
      <c r="H243" s="9" t="str">
        <f>IF($A243="","",IF($C243="Bubble Mailer",1,0)*'Material Costs'!$D$5)</f>
        <v/>
      </c>
      <c r="I243" s="9" t="str">
        <f>IF($A243="","",IF($C243="ESE (Ding Defend)",1,0)*'Material Costs'!$D$4)</f>
        <v/>
      </c>
      <c r="J243" s="9"/>
      <c r="K243" s="9" t="str">
        <f t="shared" si="27"/>
        <v/>
      </c>
      <c r="L243" s="9"/>
      <c r="M243" s="9"/>
      <c r="N243" s="9"/>
      <c r="O243" s="9" t="str">
        <f t="shared" si="28"/>
        <v/>
      </c>
      <c r="P243" s="9"/>
      <c r="Q243" s="9" t="str">
        <f>IF($A243="","",IF($O243="", "", ROUND($O243*Settings!$B$2+Settings!$B$3,2)))</f>
        <v/>
      </c>
      <c r="R243" s="9" t="str">
        <f>IF($A243="","",IF($L243="", "", Settings!$B$4))</f>
        <v/>
      </c>
      <c r="S243" s="9" t="str">
        <f t="shared" si="29"/>
        <v/>
      </c>
      <c r="T243" s="9" t="str">
        <f t="shared" si="30"/>
        <v/>
      </c>
      <c r="U243" s="9" t="str">
        <f>IF($A243="","",IF($K243="", "", ROUND((($K243 + Settings!$B$3 + $R243) - IF($M243="",0,$M243))/(1-Settings!$B$2),2)))</f>
        <v/>
      </c>
      <c r="V243" s="9" t="str">
        <f>IF($A243="","",$L243-($L243*Settings!$B$2)-$J243-($B243+SUM($D243:$I243)))</f>
        <v/>
      </c>
      <c r="W243" s="9" t="str">
        <f>IF($A243="","",(($B243+SUM($D243:$I243)+$J243+Settings!$B$3)/(1-Settings!$B$2))-$M243)</f>
        <v/>
      </c>
      <c r="X243" s="10" t="str">
        <f t="shared" si="31"/>
        <v/>
      </c>
      <c r="Y243" s="10" t="str">
        <f t="shared" si="32"/>
        <v/>
      </c>
      <c r="Z243" s="10" t="str">
        <f t="shared" si="33"/>
        <v/>
      </c>
      <c r="AA243" s="10" t="str">
        <f t="shared" si="34"/>
        <v/>
      </c>
      <c r="AC243" s="11"/>
      <c r="AD243" s="11"/>
      <c r="AE243" s="12" t="str">
        <f t="shared" si="35"/>
        <v/>
      </c>
    </row>
    <row r="244" spans="2:31" x14ac:dyDescent="0.25">
      <c r="B244" s="9"/>
      <c r="C244" t="s">
        <v>31</v>
      </c>
      <c r="D244" s="9" t="str">
        <f>IF($A244="","",1*'Material Costs'!$D$3)</f>
        <v/>
      </c>
      <c r="E244" s="9" t="str">
        <f>IF($A244="","",1*'Material Costs'!$D$2)</f>
        <v/>
      </c>
      <c r="F244" s="9" t="str">
        <f>IF($A244="","",IF($C244="Bubble Mailer",2,1)*'Material Costs'!$D$6)</f>
        <v/>
      </c>
      <c r="G244" s="9" t="str">
        <f>IF($A244="","",1*'Material Costs'!$D$7)</f>
        <v/>
      </c>
      <c r="H244" s="9" t="str">
        <f>IF($A244="","",IF($C244="Bubble Mailer",1,0)*'Material Costs'!$D$5)</f>
        <v/>
      </c>
      <c r="I244" s="9" t="str">
        <f>IF($A244="","",IF($C244="ESE (Ding Defend)",1,0)*'Material Costs'!$D$4)</f>
        <v/>
      </c>
      <c r="J244" s="9"/>
      <c r="K244" s="9" t="str">
        <f t="shared" si="27"/>
        <v/>
      </c>
      <c r="L244" s="9"/>
      <c r="M244" s="9"/>
      <c r="N244" s="9"/>
      <c r="O244" s="9" t="str">
        <f t="shared" si="28"/>
        <v/>
      </c>
      <c r="P244" s="9"/>
      <c r="Q244" s="9" t="str">
        <f>IF($A244="","",IF($O244="", "", ROUND($O244*Settings!$B$2+Settings!$B$3,2)))</f>
        <v/>
      </c>
      <c r="R244" s="9" t="str">
        <f>IF($A244="","",IF($L244="", "", Settings!$B$4))</f>
        <v/>
      </c>
      <c r="S244" s="9" t="str">
        <f t="shared" si="29"/>
        <v/>
      </c>
      <c r="T244" s="9" t="str">
        <f t="shared" si="30"/>
        <v/>
      </c>
      <c r="U244" s="9" t="str">
        <f>IF($A244="","",IF($K244="", "", ROUND((($K244 + Settings!$B$3 + $R244) - IF($M244="",0,$M244))/(1-Settings!$B$2),2)))</f>
        <v/>
      </c>
      <c r="V244" s="9" t="str">
        <f>IF($A244="","",$L244-($L244*Settings!$B$2)-$J244-($B244+SUM($D244:$I244)))</f>
        <v/>
      </c>
      <c r="W244" s="9" t="str">
        <f>IF($A244="","",(($B244+SUM($D244:$I244)+$J244+Settings!$B$3)/(1-Settings!$B$2))-$M244)</f>
        <v/>
      </c>
      <c r="X244" s="10" t="str">
        <f t="shared" si="31"/>
        <v/>
      </c>
      <c r="Y244" s="10" t="str">
        <f t="shared" si="32"/>
        <v/>
      </c>
      <c r="Z244" s="10" t="str">
        <f t="shared" si="33"/>
        <v/>
      </c>
      <c r="AA244" s="10" t="str">
        <f t="shared" si="34"/>
        <v/>
      </c>
      <c r="AC244" s="11"/>
      <c r="AD244" s="11"/>
      <c r="AE244" s="12" t="str">
        <f t="shared" si="35"/>
        <v/>
      </c>
    </row>
    <row r="245" spans="2:31" x14ac:dyDescent="0.25">
      <c r="B245" s="9"/>
      <c r="C245" t="s">
        <v>31</v>
      </c>
      <c r="D245" s="9" t="str">
        <f>IF($A245="","",1*'Material Costs'!$D$3)</f>
        <v/>
      </c>
      <c r="E245" s="9" t="str">
        <f>IF($A245="","",1*'Material Costs'!$D$2)</f>
        <v/>
      </c>
      <c r="F245" s="9" t="str">
        <f>IF($A245="","",IF($C245="Bubble Mailer",2,1)*'Material Costs'!$D$6)</f>
        <v/>
      </c>
      <c r="G245" s="9" t="str">
        <f>IF($A245="","",1*'Material Costs'!$D$7)</f>
        <v/>
      </c>
      <c r="H245" s="9" t="str">
        <f>IF($A245="","",IF($C245="Bubble Mailer",1,0)*'Material Costs'!$D$5)</f>
        <v/>
      </c>
      <c r="I245" s="9" t="str">
        <f>IF($A245="","",IF($C245="ESE (Ding Defend)",1,0)*'Material Costs'!$D$4)</f>
        <v/>
      </c>
      <c r="J245" s="9"/>
      <c r="K245" s="9" t="str">
        <f t="shared" si="27"/>
        <v/>
      </c>
      <c r="L245" s="9"/>
      <c r="M245" s="9"/>
      <c r="N245" s="9"/>
      <c r="O245" s="9" t="str">
        <f t="shared" si="28"/>
        <v/>
      </c>
      <c r="P245" s="9"/>
      <c r="Q245" s="9" t="str">
        <f>IF($A245="","",IF($O245="", "", ROUND($O245*Settings!$B$2+Settings!$B$3,2)))</f>
        <v/>
      </c>
      <c r="R245" s="9" t="str">
        <f>IF($A245="","",IF($L245="", "", Settings!$B$4))</f>
        <v/>
      </c>
      <c r="S245" s="9" t="str">
        <f t="shared" si="29"/>
        <v/>
      </c>
      <c r="T245" s="9" t="str">
        <f t="shared" si="30"/>
        <v/>
      </c>
      <c r="U245" s="9" t="str">
        <f>IF($A245="","",IF($K245="", "", ROUND((($K245 + Settings!$B$3 + $R245) - IF($M245="",0,$M245))/(1-Settings!$B$2),2)))</f>
        <v/>
      </c>
      <c r="V245" s="9" t="str">
        <f>IF($A245="","",$L245-($L245*Settings!$B$2)-$J245-($B245+SUM($D245:$I245)))</f>
        <v/>
      </c>
      <c r="W245" s="9" t="str">
        <f>IF($A245="","",(($B245+SUM($D245:$I245)+$J245+Settings!$B$3)/(1-Settings!$B$2))-$M245)</f>
        <v/>
      </c>
      <c r="X245" s="10" t="str">
        <f t="shared" si="31"/>
        <v/>
      </c>
      <c r="Y245" s="10" t="str">
        <f t="shared" si="32"/>
        <v/>
      </c>
      <c r="Z245" s="10" t="str">
        <f t="shared" si="33"/>
        <v/>
      </c>
      <c r="AA245" s="10" t="str">
        <f t="shared" si="34"/>
        <v/>
      </c>
      <c r="AC245" s="11"/>
      <c r="AD245" s="11"/>
      <c r="AE245" s="12" t="str">
        <f t="shared" si="35"/>
        <v/>
      </c>
    </row>
    <row r="246" spans="2:31" x14ac:dyDescent="0.25">
      <c r="B246" s="9"/>
      <c r="C246" t="s">
        <v>31</v>
      </c>
      <c r="D246" s="9" t="str">
        <f>IF($A246="","",1*'Material Costs'!$D$3)</f>
        <v/>
      </c>
      <c r="E246" s="9" t="str">
        <f>IF($A246="","",1*'Material Costs'!$D$2)</f>
        <v/>
      </c>
      <c r="F246" s="9" t="str">
        <f>IF($A246="","",IF($C246="Bubble Mailer",2,1)*'Material Costs'!$D$6)</f>
        <v/>
      </c>
      <c r="G246" s="9" t="str">
        <f>IF($A246="","",1*'Material Costs'!$D$7)</f>
        <v/>
      </c>
      <c r="H246" s="9" t="str">
        <f>IF($A246="","",IF($C246="Bubble Mailer",1,0)*'Material Costs'!$D$5)</f>
        <v/>
      </c>
      <c r="I246" s="9" t="str">
        <f>IF($A246="","",IF($C246="ESE (Ding Defend)",1,0)*'Material Costs'!$D$4)</f>
        <v/>
      </c>
      <c r="J246" s="9"/>
      <c r="K246" s="9" t="str">
        <f t="shared" si="27"/>
        <v/>
      </c>
      <c r="L246" s="9"/>
      <c r="M246" s="9"/>
      <c r="N246" s="9"/>
      <c r="O246" s="9" t="str">
        <f t="shared" si="28"/>
        <v/>
      </c>
      <c r="P246" s="9"/>
      <c r="Q246" s="9" t="str">
        <f>IF($A246="","",IF($O246="", "", ROUND($O246*Settings!$B$2+Settings!$B$3,2)))</f>
        <v/>
      </c>
      <c r="R246" s="9" t="str">
        <f>IF($A246="","",IF($L246="", "", Settings!$B$4))</f>
        <v/>
      </c>
      <c r="S246" s="9" t="str">
        <f t="shared" si="29"/>
        <v/>
      </c>
      <c r="T246" s="9" t="str">
        <f t="shared" si="30"/>
        <v/>
      </c>
      <c r="U246" s="9" t="str">
        <f>IF($A246="","",IF($K246="", "", ROUND((($K246 + Settings!$B$3 + $R246) - IF($M246="",0,$M246))/(1-Settings!$B$2),2)))</f>
        <v/>
      </c>
      <c r="V246" s="9" t="str">
        <f>IF($A246="","",$L246-($L246*Settings!$B$2)-$J246-($B246+SUM($D246:$I246)))</f>
        <v/>
      </c>
      <c r="W246" s="9" t="str">
        <f>IF($A246="","",(($B246+SUM($D246:$I246)+$J246+Settings!$B$3)/(1-Settings!$B$2))-$M246)</f>
        <v/>
      </c>
      <c r="X246" s="10" t="str">
        <f t="shared" si="31"/>
        <v/>
      </c>
      <c r="Y246" s="10" t="str">
        <f t="shared" si="32"/>
        <v/>
      </c>
      <c r="Z246" s="10" t="str">
        <f t="shared" si="33"/>
        <v/>
      </c>
      <c r="AA246" s="10" t="str">
        <f t="shared" si="34"/>
        <v/>
      </c>
      <c r="AC246" s="11"/>
      <c r="AD246" s="11"/>
      <c r="AE246" s="12" t="str">
        <f t="shared" si="35"/>
        <v/>
      </c>
    </row>
    <row r="247" spans="2:31" x14ac:dyDescent="0.25">
      <c r="B247" s="9"/>
      <c r="C247" t="s">
        <v>31</v>
      </c>
      <c r="D247" s="9" t="str">
        <f>IF($A247="","",1*'Material Costs'!$D$3)</f>
        <v/>
      </c>
      <c r="E247" s="9" t="str">
        <f>IF($A247="","",1*'Material Costs'!$D$2)</f>
        <v/>
      </c>
      <c r="F247" s="9" t="str">
        <f>IF($A247="","",IF($C247="Bubble Mailer",2,1)*'Material Costs'!$D$6)</f>
        <v/>
      </c>
      <c r="G247" s="9" t="str">
        <f>IF($A247="","",1*'Material Costs'!$D$7)</f>
        <v/>
      </c>
      <c r="H247" s="9" t="str">
        <f>IF($A247="","",IF($C247="Bubble Mailer",1,0)*'Material Costs'!$D$5)</f>
        <v/>
      </c>
      <c r="I247" s="9" t="str">
        <f>IF($A247="","",IF($C247="ESE (Ding Defend)",1,0)*'Material Costs'!$D$4)</f>
        <v/>
      </c>
      <c r="J247" s="9"/>
      <c r="K247" s="9" t="str">
        <f t="shared" si="27"/>
        <v/>
      </c>
      <c r="L247" s="9"/>
      <c r="M247" s="9"/>
      <c r="N247" s="9"/>
      <c r="O247" s="9" t="str">
        <f t="shared" si="28"/>
        <v/>
      </c>
      <c r="P247" s="9"/>
      <c r="Q247" s="9" t="str">
        <f>IF($A247="","",IF($O247="", "", ROUND($O247*Settings!$B$2+Settings!$B$3,2)))</f>
        <v/>
      </c>
      <c r="R247" s="9" t="str">
        <f>IF($A247="","",IF($L247="", "", Settings!$B$4))</f>
        <v/>
      </c>
      <c r="S247" s="9" t="str">
        <f t="shared" si="29"/>
        <v/>
      </c>
      <c r="T247" s="9" t="str">
        <f t="shared" si="30"/>
        <v/>
      </c>
      <c r="U247" s="9" t="str">
        <f>IF($A247="","",IF($K247="", "", ROUND((($K247 + Settings!$B$3 + $R247) - IF($M247="",0,$M247))/(1-Settings!$B$2),2)))</f>
        <v/>
      </c>
      <c r="V247" s="9" t="str">
        <f>IF($A247="","",$L247-($L247*Settings!$B$2)-$J247-($B247+SUM($D247:$I247)))</f>
        <v/>
      </c>
      <c r="W247" s="9" t="str">
        <f>IF($A247="","",(($B247+SUM($D247:$I247)+$J247+Settings!$B$3)/(1-Settings!$B$2))-$M247)</f>
        <v/>
      </c>
      <c r="X247" s="10" t="str">
        <f t="shared" si="31"/>
        <v/>
      </c>
      <c r="Y247" s="10" t="str">
        <f t="shared" si="32"/>
        <v/>
      </c>
      <c r="Z247" s="10" t="str">
        <f t="shared" si="33"/>
        <v/>
      </c>
      <c r="AA247" s="10" t="str">
        <f t="shared" si="34"/>
        <v/>
      </c>
      <c r="AC247" s="11"/>
      <c r="AD247" s="11"/>
      <c r="AE247" s="12" t="str">
        <f t="shared" si="35"/>
        <v/>
      </c>
    </row>
    <row r="248" spans="2:31" x14ac:dyDescent="0.25">
      <c r="B248" s="9"/>
      <c r="C248" t="s">
        <v>31</v>
      </c>
      <c r="D248" s="9" t="str">
        <f>IF($A248="","",1*'Material Costs'!$D$3)</f>
        <v/>
      </c>
      <c r="E248" s="9" t="str">
        <f>IF($A248="","",1*'Material Costs'!$D$2)</f>
        <v/>
      </c>
      <c r="F248" s="9" t="str">
        <f>IF($A248="","",IF($C248="Bubble Mailer",2,1)*'Material Costs'!$D$6)</f>
        <v/>
      </c>
      <c r="G248" s="9" t="str">
        <f>IF($A248="","",1*'Material Costs'!$D$7)</f>
        <v/>
      </c>
      <c r="H248" s="9" t="str">
        <f>IF($A248="","",IF($C248="Bubble Mailer",1,0)*'Material Costs'!$D$5)</f>
        <v/>
      </c>
      <c r="I248" s="9" t="str">
        <f>IF($A248="","",IF($C248="ESE (Ding Defend)",1,0)*'Material Costs'!$D$4)</f>
        <v/>
      </c>
      <c r="J248" s="9"/>
      <c r="K248" s="9" t="str">
        <f t="shared" si="27"/>
        <v/>
      </c>
      <c r="L248" s="9"/>
      <c r="M248" s="9"/>
      <c r="N248" s="9"/>
      <c r="O248" s="9" t="str">
        <f t="shared" si="28"/>
        <v/>
      </c>
      <c r="P248" s="9"/>
      <c r="Q248" s="9" t="str">
        <f>IF($A248="","",IF($O248="", "", ROUND($O248*Settings!$B$2+Settings!$B$3,2)))</f>
        <v/>
      </c>
      <c r="R248" s="9" t="str">
        <f>IF($A248="","",IF($L248="", "", Settings!$B$4))</f>
        <v/>
      </c>
      <c r="S248" s="9" t="str">
        <f t="shared" si="29"/>
        <v/>
      </c>
      <c r="T248" s="9" t="str">
        <f t="shared" si="30"/>
        <v/>
      </c>
      <c r="U248" s="9" t="str">
        <f>IF($A248="","",IF($K248="", "", ROUND((($K248 + Settings!$B$3 + $R248) - IF($M248="",0,$M248))/(1-Settings!$B$2),2)))</f>
        <v/>
      </c>
      <c r="V248" s="9" t="str">
        <f>IF($A248="","",$L248-($L248*Settings!$B$2)-$J248-($B248+SUM($D248:$I248)))</f>
        <v/>
      </c>
      <c r="W248" s="9" t="str">
        <f>IF($A248="","",(($B248+SUM($D248:$I248)+$J248+Settings!$B$3)/(1-Settings!$B$2))-$M248)</f>
        <v/>
      </c>
      <c r="X248" s="10" t="str">
        <f t="shared" si="31"/>
        <v/>
      </c>
      <c r="Y248" s="10" t="str">
        <f t="shared" si="32"/>
        <v/>
      </c>
      <c r="Z248" s="10" t="str">
        <f t="shared" si="33"/>
        <v/>
      </c>
      <c r="AA248" s="10" t="str">
        <f t="shared" si="34"/>
        <v/>
      </c>
      <c r="AC248" s="11"/>
      <c r="AD248" s="11"/>
      <c r="AE248" s="12" t="str">
        <f t="shared" si="35"/>
        <v/>
      </c>
    </row>
    <row r="249" spans="2:31" x14ac:dyDescent="0.25">
      <c r="B249" s="9"/>
      <c r="C249" t="s">
        <v>31</v>
      </c>
      <c r="D249" s="9" t="str">
        <f>IF($A249="","",1*'Material Costs'!$D$3)</f>
        <v/>
      </c>
      <c r="E249" s="9" t="str">
        <f>IF($A249="","",1*'Material Costs'!$D$2)</f>
        <v/>
      </c>
      <c r="F249" s="9" t="str">
        <f>IF($A249="","",IF($C249="Bubble Mailer",2,1)*'Material Costs'!$D$6)</f>
        <v/>
      </c>
      <c r="G249" s="9" t="str">
        <f>IF($A249="","",1*'Material Costs'!$D$7)</f>
        <v/>
      </c>
      <c r="H249" s="9" t="str">
        <f>IF($A249="","",IF($C249="Bubble Mailer",1,0)*'Material Costs'!$D$5)</f>
        <v/>
      </c>
      <c r="I249" s="9" t="str">
        <f>IF($A249="","",IF($C249="ESE (Ding Defend)",1,0)*'Material Costs'!$D$4)</f>
        <v/>
      </c>
      <c r="J249" s="9"/>
      <c r="K249" s="9" t="str">
        <f t="shared" si="27"/>
        <v/>
      </c>
      <c r="L249" s="9"/>
      <c r="M249" s="9"/>
      <c r="N249" s="9"/>
      <c r="O249" s="9" t="str">
        <f t="shared" si="28"/>
        <v/>
      </c>
      <c r="P249" s="9"/>
      <c r="Q249" s="9" t="str">
        <f>IF($A249="","",IF($O249="", "", ROUND($O249*Settings!$B$2+Settings!$B$3,2)))</f>
        <v/>
      </c>
      <c r="R249" s="9" t="str">
        <f>IF($A249="","",IF($L249="", "", Settings!$B$4))</f>
        <v/>
      </c>
      <c r="S249" s="9" t="str">
        <f t="shared" si="29"/>
        <v/>
      </c>
      <c r="T249" s="9" t="str">
        <f t="shared" si="30"/>
        <v/>
      </c>
      <c r="U249" s="9" t="str">
        <f>IF($A249="","",IF($K249="", "", ROUND((($K249 + Settings!$B$3 + $R249) - IF($M249="",0,$M249))/(1-Settings!$B$2),2)))</f>
        <v/>
      </c>
      <c r="V249" s="9" t="str">
        <f>IF($A249="","",$L249-($L249*Settings!$B$2)-$J249-($B249+SUM($D249:$I249)))</f>
        <v/>
      </c>
      <c r="W249" s="9" t="str">
        <f>IF($A249="","",(($B249+SUM($D249:$I249)+$J249+Settings!$B$3)/(1-Settings!$B$2))-$M249)</f>
        <v/>
      </c>
      <c r="X249" s="10" t="str">
        <f t="shared" si="31"/>
        <v/>
      </c>
      <c r="Y249" s="10" t="str">
        <f t="shared" si="32"/>
        <v/>
      </c>
      <c r="Z249" s="10" t="str">
        <f t="shared" si="33"/>
        <v/>
      </c>
      <c r="AA249" s="10" t="str">
        <f t="shared" si="34"/>
        <v/>
      </c>
      <c r="AC249" s="11"/>
      <c r="AD249" s="11"/>
      <c r="AE249" s="12" t="str">
        <f t="shared" si="35"/>
        <v/>
      </c>
    </row>
    <row r="250" spans="2:31" x14ac:dyDescent="0.25">
      <c r="B250" s="9"/>
      <c r="C250" t="s">
        <v>31</v>
      </c>
      <c r="D250" s="9" t="str">
        <f>IF($A250="","",1*'Material Costs'!$D$3)</f>
        <v/>
      </c>
      <c r="E250" s="9" t="str">
        <f>IF($A250="","",1*'Material Costs'!$D$2)</f>
        <v/>
      </c>
      <c r="F250" s="9" t="str">
        <f>IF($A250="","",IF($C250="Bubble Mailer",2,1)*'Material Costs'!$D$6)</f>
        <v/>
      </c>
      <c r="G250" s="9" t="str">
        <f>IF($A250="","",1*'Material Costs'!$D$7)</f>
        <v/>
      </c>
      <c r="H250" s="9" t="str">
        <f>IF($A250="","",IF($C250="Bubble Mailer",1,0)*'Material Costs'!$D$5)</f>
        <v/>
      </c>
      <c r="I250" s="9" t="str">
        <f>IF($A250="","",IF($C250="ESE (Ding Defend)",1,0)*'Material Costs'!$D$4)</f>
        <v/>
      </c>
      <c r="J250" s="9"/>
      <c r="K250" s="9" t="str">
        <f t="shared" si="27"/>
        <v/>
      </c>
      <c r="L250" s="9"/>
      <c r="M250" s="9"/>
      <c r="N250" s="9"/>
      <c r="O250" s="9" t="str">
        <f t="shared" si="28"/>
        <v/>
      </c>
      <c r="P250" s="9"/>
      <c r="Q250" s="9" t="str">
        <f>IF($A250="","",IF($O250="", "", ROUND($O250*Settings!$B$2+Settings!$B$3,2)))</f>
        <v/>
      </c>
      <c r="R250" s="9" t="str">
        <f>IF($A250="","",IF($L250="", "", Settings!$B$4))</f>
        <v/>
      </c>
      <c r="S250" s="9" t="str">
        <f t="shared" si="29"/>
        <v/>
      </c>
      <c r="T250" s="9" t="str">
        <f t="shared" si="30"/>
        <v/>
      </c>
      <c r="U250" s="9" t="str">
        <f>IF($A250="","",IF($K250="", "", ROUND((($K250 + Settings!$B$3 + $R250) - IF($M250="",0,$M250))/(1-Settings!$B$2),2)))</f>
        <v/>
      </c>
      <c r="V250" s="9" t="str">
        <f>IF($A250="","",$L250-($L250*Settings!$B$2)-$J250-($B250+SUM($D250:$I250)))</f>
        <v/>
      </c>
      <c r="W250" s="9" t="str">
        <f>IF($A250="","",(($B250+SUM($D250:$I250)+$J250+Settings!$B$3)/(1-Settings!$B$2))-$M250)</f>
        <v/>
      </c>
      <c r="X250" s="10" t="str">
        <f t="shared" si="31"/>
        <v/>
      </c>
      <c r="Y250" s="10" t="str">
        <f t="shared" si="32"/>
        <v/>
      </c>
      <c r="Z250" s="10" t="str">
        <f t="shared" si="33"/>
        <v/>
      </c>
      <c r="AA250" s="10" t="str">
        <f t="shared" si="34"/>
        <v/>
      </c>
      <c r="AC250" s="11"/>
      <c r="AD250" s="11"/>
      <c r="AE250" s="12" t="str">
        <f t="shared" si="35"/>
        <v/>
      </c>
    </row>
    <row r="251" spans="2:31" x14ac:dyDescent="0.25">
      <c r="B251" s="9"/>
      <c r="C251" t="s">
        <v>31</v>
      </c>
      <c r="D251" s="9" t="str">
        <f>IF($A251="","",1*'Material Costs'!$D$3)</f>
        <v/>
      </c>
      <c r="E251" s="9" t="str">
        <f>IF($A251="","",1*'Material Costs'!$D$2)</f>
        <v/>
      </c>
      <c r="F251" s="9" t="str">
        <f>IF($A251="","",IF($C251="Bubble Mailer",2,1)*'Material Costs'!$D$6)</f>
        <v/>
      </c>
      <c r="G251" s="9" t="str">
        <f>IF($A251="","",1*'Material Costs'!$D$7)</f>
        <v/>
      </c>
      <c r="H251" s="9" t="str">
        <f>IF($A251="","",IF($C251="Bubble Mailer",1,0)*'Material Costs'!$D$5)</f>
        <v/>
      </c>
      <c r="I251" s="9" t="str">
        <f>IF($A251="","",IF($C251="ESE (Ding Defend)",1,0)*'Material Costs'!$D$4)</f>
        <v/>
      </c>
      <c r="J251" s="9"/>
      <c r="K251" s="9" t="str">
        <f t="shared" si="27"/>
        <v/>
      </c>
      <c r="L251" s="9"/>
      <c r="M251" s="9"/>
      <c r="N251" s="9"/>
      <c r="O251" s="9" t="str">
        <f t="shared" si="28"/>
        <v/>
      </c>
      <c r="P251" s="9"/>
      <c r="Q251" s="9" t="str">
        <f>IF($A251="","",IF($O251="", "", ROUND($O251*Settings!$B$2+Settings!$B$3,2)))</f>
        <v/>
      </c>
      <c r="R251" s="9" t="str">
        <f>IF($A251="","",IF($L251="", "", Settings!$B$4))</f>
        <v/>
      </c>
      <c r="S251" s="9" t="str">
        <f t="shared" si="29"/>
        <v/>
      </c>
      <c r="T251" s="9" t="str">
        <f t="shared" si="30"/>
        <v/>
      </c>
      <c r="U251" s="9" t="str">
        <f>IF($A251="","",IF($K251="", "", ROUND((($K251 + Settings!$B$3 + $R251) - IF($M251="",0,$M251))/(1-Settings!$B$2),2)))</f>
        <v/>
      </c>
      <c r="V251" s="9" t="str">
        <f>IF($A251="","",$L251-($L251*Settings!$B$2)-$J251-($B251+SUM($D251:$I251)))</f>
        <v/>
      </c>
      <c r="W251" s="9" t="str">
        <f>IF($A251="","",(($B251+SUM($D251:$I251)+$J251+Settings!$B$3)/(1-Settings!$B$2))-$M251)</f>
        <v/>
      </c>
      <c r="X251" s="10" t="str">
        <f t="shared" si="31"/>
        <v/>
      </c>
      <c r="Y251" s="10" t="str">
        <f t="shared" si="32"/>
        <v/>
      </c>
      <c r="Z251" s="10" t="str">
        <f t="shared" si="33"/>
        <v/>
      </c>
      <c r="AA251" s="10" t="str">
        <f t="shared" si="34"/>
        <v/>
      </c>
      <c r="AC251" s="11"/>
      <c r="AD251" s="11"/>
      <c r="AE251" s="12" t="str">
        <f t="shared" si="35"/>
        <v/>
      </c>
    </row>
    <row r="252" spans="2:31" x14ac:dyDescent="0.25">
      <c r="B252" s="9"/>
      <c r="C252" t="s">
        <v>31</v>
      </c>
      <c r="D252" s="9" t="str">
        <f>IF($A252="","",1*'Material Costs'!$D$3)</f>
        <v/>
      </c>
      <c r="E252" s="9" t="str">
        <f>IF($A252="","",1*'Material Costs'!$D$2)</f>
        <v/>
      </c>
      <c r="F252" s="9" t="str">
        <f>IF($A252="","",IF($C252="Bubble Mailer",2,1)*'Material Costs'!$D$6)</f>
        <v/>
      </c>
      <c r="G252" s="9" t="str">
        <f>IF($A252="","",1*'Material Costs'!$D$7)</f>
        <v/>
      </c>
      <c r="H252" s="9" t="str">
        <f>IF($A252="","",IF($C252="Bubble Mailer",1,0)*'Material Costs'!$D$5)</f>
        <v/>
      </c>
      <c r="I252" s="9" t="str">
        <f>IF($A252="","",IF($C252="ESE (Ding Defend)",1,0)*'Material Costs'!$D$4)</f>
        <v/>
      </c>
      <c r="J252" s="9"/>
      <c r="K252" s="9" t="str">
        <f t="shared" si="27"/>
        <v/>
      </c>
      <c r="L252" s="9"/>
      <c r="M252" s="9"/>
      <c r="N252" s="9"/>
      <c r="O252" s="9" t="str">
        <f t="shared" si="28"/>
        <v/>
      </c>
      <c r="P252" s="9"/>
      <c r="Q252" s="9" t="str">
        <f>IF($A252="","",IF($O252="", "", ROUND($O252*Settings!$B$2+Settings!$B$3,2)))</f>
        <v/>
      </c>
      <c r="R252" s="9" t="str">
        <f>IF($A252="","",IF($L252="", "", Settings!$B$4))</f>
        <v/>
      </c>
      <c r="S252" s="9" t="str">
        <f t="shared" si="29"/>
        <v/>
      </c>
      <c r="T252" s="9" t="str">
        <f t="shared" si="30"/>
        <v/>
      </c>
      <c r="U252" s="9" t="str">
        <f>IF($A252="","",IF($K252="", "", ROUND((($K252 + Settings!$B$3 + $R252) - IF($M252="",0,$M252))/(1-Settings!$B$2),2)))</f>
        <v/>
      </c>
      <c r="V252" s="9" t="str">
        <f>IF($A252="","",$L252-($L252*Settings!$B$2)-$J252-($B252+SUM($D252:$I252)))</f>
        <v/>
      </c>
      <c r="W252" s="9" t="str">
        <f>IF($A252="","",(($B252+SUM($D252:$I252)+$J252+Settings!$B$3)/(1-Settings!$B$2))-$M252)</f>
        <v/>
      </c>
      <c r="X252" s="10" t="str">
        <f t="shared" si="31"/>
        <v/>
      </c>
      <c r="Y252" s="10" t="str">
        <f t="shared" si="32"/>
        <v/>
      </c>
      <c r="Z252" s="10" t="str">
        <f t="shared" si="33"/>
        <v/>
      </c>
      <c r="AA252" s="10" t="str">
        <f t="shared" si="34"/>
        <v/>
      </c>
      <c r="AC252" s="11"/>
      <c r="AD252" s="11"/>
      <c r="AE252" s="12" t="str">
        <f t="shared" si="35"/>
        <v/>
      </c>
    </row>
    <row r="253" spans="2:31" x14ac:dyDescent="0.25">
      <c r="B253" s="9"/>
      <c r="C253" t="s">
        <v>31</v>
      </c>
      <c r="D253" s="9" t="str">
        <f>IF($A253="","",1*'Material Costs'!$D$3)</f>
        <v/>
      </c>
      <c r="E253" s="9" t="str">
        <f>IF($A253="","",1*'Material Costs'!$D$2)</f>
        <v/>
      </c>
      <c r="F253" s="9" t="str">
        <f>IF($A253="","",IF($C253="Bubble Mailer",2,1)*'Material Costs'!$D$6)</f>
        <v/>
      </c>
      <c r="G253" s="9" t="str">
        <f>IF($A253="","",1*'Material Costs'!$D$7)</f>
        <v/>
      </c>
      <c r="H253" s="9" t="str">
        <f>IF($A253="","",IF($C253="Bubble Mailer",1,0)*'Material Costs'!$D$5)</f>
        <v/>
      </c>
      <c r="I253" s="9" t="str">
        <f>IF($A253="","",IF($C253="ESE (Ding Defend)",1,0)*'Material Costs'!$D$4)</f>
        <v/>
      </c>
      <c r="J253" s="9"/>
      <c r="K253" s="9" t="str">
        <f t="shared" si="27"/>
        <v/>
      </c>
      <c r="L253" s="9"/>
      <c r="M253" s="9"/>
      <c r="N253" s="9"/>
      <c r="O253" s="9" t="str">
        <f t="shared" si="28"/>
        <v/>
      </c>
      <c r="P253" s="9"/>
      <c r="Q253" s="9" t="str">
        <f>IF($A253="","",IF($O253="", "", ROUND($O253*Settings!$B$2+Settings!$B$3,2)))</f>
        <v/>
      </c>
      <c r="R253" s="9" t="str">
        <f>IF($A253="","",IF($L253="", "", Settings!$B$4))</f>
        <v/>
      </c>
      <c r="S253" s="9" t="str">
        <f t="shared" si="29"/>
        <v/>
      </c>
      <c r="T253" s="9" t="str">
        <f t="shared" si="30"/>
        <v/>
      </c>
      <c r="U253" s="9" t="str">
        <f>IF($A253="","",IF($K253="", "", ROUND((($K253 + Settings!$B$3 + $R253) - IF($M253="",0,$M253))/(1-Settings!$B$2),2)))</f>
        <v/>
      </c>
      <c r="V253" s="9" t="str">
        <f>IF($A253="","",$L253-($L253*Settings!$B$2)-$J253-($B253+SUM($D253:$I253)))</f>
        <v/>
      </c>
      <c r="W253" s="9" t="str">
        <f>IF($A253="","",(($B253+SUM($D253:$I253)+$J253+Settings!$B$3)/(1-Settings!$B$2))-$M253)</f>
        <v/>
      </c>
      <c r="X253" s="10" t="str">
        <f t="shared" si="31"/>
        <v/>
      </c>
      <c r="Y253" s="10" t="str">
        <f t="shared" si="32"/>
        <v/>
      </c>
      <c r="Z253" s="10" t="str">
        <f t="shared" si="33"/>
        <v/>
      </c>
      <c r="AA253" s="10" t="str">
        <f t="shared" si="34"/>
        <v/>
      </c>
      <c r="AC253" s="11"/>
      <c r="AD253" s="11"/>
      <c r="AE253" s="12" t="str">
        <f t="shared" si="35"/>
        <v/>
      </c>
    </row>
    <row r="254" spans="2:31" x14ac:dyDescent="0.25">
      <c r="B254" s="9"/>
      <c r="C254" t="s">
        <v>31</v>
      </c>
      <c r="D254" s="9" t="str">
        <f>IF($A254="","",1*'Material Costs'!$D$3)</f>
        <v/>
      </c>
      <c r="E254" s="9" t="str">
        <f>IF($A254="","",1*'Material Costs'!$D$2)</f>
        <v/>
      </c>
      <c r="F254" s="9" t="str">
        <f>IF($A254="","",IF($C254="Bubble Mailer",2,1)*'Material Costs'!$D$6)</f>
        <v/>
      </c>
      <c r="G254" s="9" t="str">
        <f>IF($A254="","",1*'Material Costs'!$D$7)</f>
        <v/>
      </c>
      <c r="H254" s="9" t="str">
        <f>IF($A254="","",IF($C254="Bubble Mailer",1,0)*'Material Costs'!$D$5)</f>
        <v/>
      </c>
      <c r="I254" s="9" t="str">
        <f>IF($A254="","",IF($C254="ESE (Ding Defend)",1,0)*'Material Costs'!$D$4)</f>
        <v/>
      </c>
      <c r="J254" s="9"/>
      <c r="K254" s="9" t="str">
        <f t="shared" si="27"/>
        <v/>
      </c>
      <c r="L254" s="9"/>
      <c r="M254" s="9"/>
      <c r="N254" s="9"/>
      <c r="O254" s="9" t="str">
        <f t="shared" si="28"/>
        <v/>
      </c>
      <c r="P254" s="9"/>
      <c r="Q254" s="9" t="str">
        <f>IF($A254="","",IF($O254="", "", ROUND($O254*Settings!$B$2+Settings!$B$3,2)))</f>
        <v/>
      </c>
      <c r="R254" s="9" t="str">
        <f>IF($A254="","",IF($L254="", "", Settings!$B$4))</f>
        <v/>
      </c>
      <c r="S254" s="9" t="str">
        <f t="shared" si="29"/>
        <v/>
      </c>
      <c r="T254" s="9" t="str">
        <f t="shared" si="30"/>
        <v/>
      </c>
      <c r="U254" s="9" t="str">
        <f>IF($A254="","",IF($K254="", "", ROUND((($K254 + Settings!$B$3 + $R254) - IF($M254="",0,$M254))/(1-Settings!$B$2),2)))</f>
        <v/>
      </c>
      <c r="V254" s="9" t="str">
        <f>IF($A254="","",$L254-($L254*Settings!$B$2)-$J254-($B254+SUM($D254:$I254)))</f>
        <v/>
      </c>
      <c r="W254" s="9" t="str">
        <f>IF($A254="","",(($B254+SUM($D254:$I254)+$J254+Settings!$B$3)/(1-Settings!$B$2))-$M254)</f>
        <v/>
      </c>
      <c r="X254" s="10" t="str">
        <f t="shared" si="31"/>
        <v/>
      </c>
      <c r="Y254" s="10" t="str">
        <f t="shared" si="32"/>
        <v/>
      </c>
      <c r="Z254" s="10" t="str">
        <f t="shared" si="33"/>
        <v/>
      </c>
      <c r="AA254" s="10" t="str">
        <f t="shared" si="34"/>
        <v/>
      </c>
      <c r="AC254" s="11"/>
      <c r="AD254" s="11"/>
      <c r="AE254" s="12" t="str">
        <f t="shared" si="35"/>
        <v/>
      </c>
    </row>
    <row r="255" spans="2:31" x14ac:dyDescent="0.25">
      <c r="B255" s="9"/>
      <c r="C255" t="s">
        <v>31</v>
      </c>
      <c r="D255" s="9" t="str">
        <f>IF($A255="","",1*'Material Costs'!$D$3)</f>
        <v/>
      </c>
      <c r="E255" s="9" t="str">
        <f>IF($A255="","",1*'Material Costs'!$D$2)</f>
        <v/>
      </c>
      <c r="F255" s="9" t="str">
        <f>IF($A255="","",IF($C255="Bubble Mailer",2,1)*'Material Costs'!$D$6)</f>
        <v/>
      </c>
      <c r="G255" s="9" t="str">
        <f>IF($A255="","",1*'Material Costs'!$D$7)</f>
        <v/>
      </c>
      <c r="H255" s="9" t="str">
        <f>IF($A255="","",IF($C255="Bubble Mailer",1,0)*'Material Costs'!$D$5)</f>
        <v/>
      </c>
      <c r="I255" s="9" t="str">
        <f>IF($A255="","",IF($C255="ESE (Ding Defend)",1,0)*'Material Costs'!$D$4)</f>
        <v/>
      </c>
      <c r="J255" s="9"/>
      <c r="K255" s="9" t="str">
        <f t="shared" si="27"/>
        <v/>
      </c>
      <c r="L255" s="9"/>
      <c r="M255" s="9"/>
      <c r="N255" s="9"/>
      <c r="O255" s="9" t="str">
        <f t="shared" si="28"/>
        <v/>
      </c>
      <c r="P255" s="9"/>
      <c r="Q255" s="9" t="str">
        <f>IF($A255="","",IF($O255="", "", ROUND($O255*Settings!$B$2+Settings!$B$3,2)))</f>
        <v/>
      </c>
      <c r="R255" s="9" t="str">
        <f>IF($A255="","",IF($L255="", "", Settings!$B$4))</f>
        <v/>
      </c>
      <c r="S255" s="9" t="str">
        <f t="shared" si="29"/>
        <v/>
      </c>
      <c r="T255" s="9" t="str">
        <f t="shared" si="30"/>
        <v/>
      </c>
      <c r="U255" s="9" t="str">
        <f>IF($A255="","",IF($K255="", "", ROUND((($K255 + Settings!$B$3 + $R255) - IF($M255="",0,$M255))/(1-Settings!$B$2),2)))</f>
        <v/>
      </c>
      <c r="V255" s="9" t="str">
        <f>IF($A255="","",$L255-($L255*Settings!$B$2)-$J255-($B255+SUM($D255:$I255)))</f>
        <v/>
      </c>
      <c r="W255" s="9" t="str">
        <f>IF($A255="","",(($B255+SUM($D255:$I255)+$J255+Settings!$B$3)/(1-Settings!$B$2))-$M255)</f>
        <v/>
      </c>
      <c r="X255" s="10" t="str">
        <f t="shared" si="31"/>
        <v/>
      </c>
      <c r="Y255" s="10" t="str">
        <f t="shared" si="32"/>
        <v/>
      </c>
      <c r="Z255" s="10" t="str">
        <f t="shared" si="33"/>
        <v/>
      </c>
      <c r="AA255" s="10" t="str">
        <f t="shared" si="34"/>
        <v/>
      </c>
      <c r="AC255" s="11"/>
      <c r="AD255" s="11"/>
      <c r="AE255" s="12" t="str">
        <f t="shared" si="35"/>
        <v/>
      </c>
    </row>
    <row r="256" spans="2:31" x14ac:dyDescent="0.25">
      <c r="B256" s="9"/>
      <c r="C256" t="s">
        <v>31</v>
      </c>
      <c r="D256" s="9" t="str">
        <f>IF($A256="","",1*'Material Costs'!$D$3)</f>
        <v/>
      </c>
      <c r="E256" s="9" t="str">
        <f>IF($A256="","",1*'Material Costs'!$D$2)</f>
        <v/>
      </c>
      <c r="F256" s="9" t="str">
        <f>IF($A256="","",IF($C256="Bubble Mailer",2,1)*'Material Costs'!$D$6)</f>
        <v/>
      </c>
      <c r="G256" s="9" t="str">
        <f>IF($A256="","",1*'Material Costs'!$D$7)</f>
        <v/>
      </c>
      <c r="H256" s="9" t="str">
        <f>IF($A256="","",IF($C256="Bubble Mailer",1,0)*'Material Costs'!$D$5)</f>
        <v/>
      </c>
      <c r="I256" s="9" t="str">
        <f>IF($A256="","",IF($C256="ESE (Ding Defend)",1,0)*'Material Costs'!$D$4)</f>
        <v/>
      </c>
      <c r="J256" s="9"/>
      <c r="K256" s="9" t="str">
        <f t="shared" si="27"/>
        <v/>
      </c>
      <c r="L256" s="9"/>
      <c r="M256" s="9"/>
      <c r="N256" s="9"/>
      <c r="O256" s="9" t="str">
        <f t="shared" si="28"/>
        <v/>
      </c>
      <c r="P256" s="9"/>
      <c r="Q256" s="9" t="str">
        <f>IF($A256="","",IF($O256="", "", ROUND($O256*Settings!$B$2+Settings!$B$3,2)))</f>
        <v/>
      </c>
      <c r="R256" s="9" t="str">
        <f>IF($A256="","",IF($L256="", "", Settings!$B$4))</f>
        <v/>
      </c>
      <c r="S256" s="9" t="str">
        <f t="shared" si="29"/>
        <v/>
      </c>
      <c r="T256" s="9" t="str">
        <f t="shared" si="30"/>
        <v/>
      </c>
      <c r="U256" s="9" t="str">
        <f>IF($A256="","",IF($K256="", "", ROUND((($K256 + Settings!$B$3 + $R256) - IF($M256="",0,$M256))/(1-Settings!$B$2),2)))</f>
        <v/>
      </c>
      <c r="V256" s="9" t="str">
        <f>IF($A256="","",$L256-($L256*Settings!$B$2)-$J256-($B256+SUM($D256:$I256)))</f>
        <v/>
      </c>
      <c r="W256" s="9" t="str">
        <f>IF($A256="","",(($B256+SUM($D256:$I256)+$J256+Settings!$B$3)/(1-Settings!$B$2))-$M256)</f>
        <v/>
      </c>
      <c r="X256" s="10" t="str">
        <f t="shared" si="31"/>
        <v/>
      </c>
      <c r="Y256" s="10" t="str">
        <f t="shared" si="32"/>
        <v/>
      </c>
      <c r="Z256" s="10" t="str">
        <f t="shared" si="33"/>
        <v/>
      </c>
      <c r="AA256" s="10" t="str">
        <f t="shared" si="34"/>
        <v/>
      </c>
      <c r="AC256" s="11"/>
      <c r="AD256" s="11"/>
      <c r="AE256" s="12" t="str">
        <f t="shared" si="35"/>
        <v/>
      </c>
    </row>
    <row r="257" spans="2:31" x14ac:dyDescent="0.25">
      <c r="B257" s="9"/>
      <c r="C257" t="s">
        <v>31</v>
      </c>
      <c r="D257" s="9" t="str">
        <f>IF($A257="","",1*'Material Costs'!$D$3)</f>
        <v/>
      </c>
      <c r="E257" s="9" t="str">
        <f>IF($A257="","",1*'Material Costs'!$D$2)</f>
        <v/>
      </c>
      <c r="F257" s="9" t="str">
        <f>IF($A257="","",IF($C257="Bubble Mailer",2,1)*'Material Costs'!$D$6)</f>
        <v/>
      </c>
      <c r="G257" s="9" t="str">
        <f>IF($A257="","",1*'Material Costs'!$D$7)</f>
        <v/>
      </c>
      <c r="H257" s="9" t="str">
        <f>IF($A257="","",IF($C257="Bubble Mailer",1,0)*'Material Costs'!$D$5)</f>
        <v/>
      </c>
      <c r="I257" s="9" t="str">
        <f>IF($A257="","",IF($C257="ESE (Ding Defend)",1,0)*'Material Costs'!$D$4)</f>
        <v/>
      </c>
      <c r="J257" s="9"/>
      <c r="K257" s="9" t="str">
        <f t="shared" ref="K257:K320" si="36">IF($A257="","",SUM($B257:$J257))</f>
        <v/>
      </c>
      <c r="L257" s="9"/>
      <c r="M257" s="9"/>
      <c r="N257" s="9"/>
      <c r="O257" s="9" t="str">
        <f t="shared" ref="O257:O320" si="37">IF($A257="","",SUM($L257:$N257))</f>
        <v/>
      </c>
      <c r="P257" s="9"/>
      <c r="Q257" s="9" t="str">
        <f>IF($A257="","",IF($O257="", "", ROUND($O257*Settings!$B$2+Settings!$B$3,2)))</f>
        <v/>
      </c>
      <c r="R257" s="9" t="str">
        <f>IF($A257="","",IF($L257="", "", Settings!$B$4))</f>
        <v/>
      </c>
      <c r="S257" s="9" t="str">
        <f t="shared" ref="S257:S320" si="38">IF($A257="","",IF($O257="", "", ROUND($O257 - IF($P257&lt;&gt;"",$P257,$Q257) - $R257,2)))</f>
        <v/>
      </c>
      <c r="T257" s="9" t="str">
        <f t="shared" ref="T257:T320" si="39">IF($A257="","",IF($S257="", "", ROUND($S257 - $K257,2)))</f>
        <v/>
      </c>
      <c r="U257" s="9" t="str">
        <f>IF($A257="","",IF($K257="", "", ROUND((($K257 + Settings!$B$3 + $R257) - IF($M257="",0,$M257))/(1-Settings!$B$2),2)))</f>
        <v/>
      </c>
      <c r="V257" s="9" t="str">
        <f>IF($A257="","",$L257-($L257*Settings!$B$2)-$J257-($B257+SUM($D257:$I257)))</f>
        <v/>
      </c>
      <c r="W257" s="9" t="str">
        <f>IF($A257="","",(($B257+SUM($D257:$I257)+$J257+Settings!$B$3)/(1-Settings!$B$2))-$M257)</f>
        <v/>
      </c>
      <c r="X257" s="10" t="str">
        <f t="shared" ref="X257:X320" si="40">IF($A257="","",IF($O257="", "", IFERROR($T257/$O257, "")))</f>
        <v/>
      </c>
      <c r="Y257" s="10" t="str">
        <f t="shared" ref="Y257:Y320" si="41">IF($A257="","",IF($K257="", "", IFERROR($T257/$K257, "")))</f>
        <v/>
      </c>
      <c r="Z257" s="10" t="str">
        <f t="shared" ref="Z257:Z320" si="42">IF($A257="","",IF($O257="", "", IFERROR($Q257/$O257, "")))</f>
        <v/>
      </c>
      <c r="AA257" s="10" t="str">
        <f t="shared" ref="AA257:AA320" si="43">IF($A257="","",IF($L257="", "", IFERROR($T257/$L257, "")))</f>
        <v/>
      </c>
      <c r="AC257" s="11"/>
      <c r="AD257" s="11"/>
      <c r="AE257" s="12" t="str">
        <f t="shared" ref="AE257:AE320" si="44">IF($A257="","",IF(OR($AC257="", $AD257=""),"", $AD257-$AC257))</f>
        <v/>
      </c>
    </row>
    <row r="258" spans="2:31" x14ac:dyDescent="0.25">
      <c r="B258" s="9"/>
      <c r="C258" t="s">
        <v>31</v>
      </c>
      <c r="D258" s="9" t="str">
        <f>IF($A258="","",1*'Material Costs'!$D$3)</f>
        <v/>
      </c>
      <c r="E258" s="9" t="str">
        <f>IF($A258="","",1*'Material Costs'!$D$2)</f>
        <v/>
      </c>
      <c r="F258" s="9" t="str">
        <f>IF($A258="","",IF($C258="Bubble Mailer",2,1)*'Material Costs'!$D$6)</f>
        <v/>
      </c>
      <c r="G258" s="9" t="str">
        <f>IF($A258="","",1*'Material Costs'!$D$7)</f>
        <v/>
      </c>
      <c r="H258" s="9" t="str">
        <f>IF($A258="","",IF($C258="Bubble Mailer",1,0)*'Material Costs'!$D$5)</f>
        <v/>
      </c>
      <c r="I258" s="9" t="str">
        <f>IF($A258="","",IF($C258="ESE (Ding Defend)",1,0)*'Material Costs'!$D$4)</f>
        <v/>
      </c>
      <c r="J258" s="9"/>
      <c r="K258" s="9" t="str">
        <f t="shared" si="36"/>
        <v/>
      </c>
      <c r="L258" s="9"/>
      <c r="M258" s="9"/>
      <c r="N258" s="9"/>
      <c r="O258" s="9" t="str">
        <f t="shared" si="37"/>
        <v/>
      </c>
      <c r="P258" s="9"/>
      <c r="Q258" s="9" t="str">
        <f>IF($A258="","",IF($O258="", "", ROUND($O258*Settings!$B$2+Settings!$B$3,2)))</f>
        <v/>
      </c>
      <c r="R258" s="9" t="str">
        <f>IF($A258="","",IF($L258="", "", Settings!$B$4))</f>
        <v/>
      </c>
      <c r="S258" s="9" t="str">
        <f t="shared" si="38"/>
        <v/>
      </c>
      <c r="T258" s="9" t="str">
        <f t="shared" si="39"/>
        <v/>
      </c>
      <c r="U258" s="9" t="str">
        <f>IF($A258="","",IF($K258="", "", ROUND((($K258 + Settings!$B$3 + $R258) - IF($M258="",0,$M258))/(1-Settings!$B$2),2)))</f>
        <v/>
      </c>
      <c r="V258" s="9" t="str">
        <f>IF($A258="","",$L258-($L258*Settings!$B$2)-$J258-($B258+SUM($D258:$I258)))</f>
        <v/>
      </c>
      <c r="W258" s="9" t="str">
        <f>IF($A258="","",(($B258+SUM($D258:$I258)+$J258+Settings!$B$3)/(1-Settings!$B$2))-$M258)</f>
        <v/>
      </c>
      <c r="X258" s="10" t="str">
        <f t="shared" si="40"/>
        <v/>
      </c>
      <c r="Y258" s="10" t="str">
        <f t="shared" si="41"/>
        <v/>
      </c>
      <c r="Z258" s="10" t="str">
        <f t="shared" si="42"/>
        <v/>
      </c>
      <c r="AA258" s="10" t="str">
        <f t="shared" si="43"/>
        <v/>
      </c>
      <c r="AC258" s="11"/>
      <c r="AD258" s="11"/>
      <c r="AE258" s="12" t="str">
        <f t="shared" si="44"/>
        <v/>
      </c>
    </row>
    <row r="259" spans="2:31" x14ac:dyDescent="0.25">
      <c r="B259" s="9"/>
      <c r="C259" t="s">
        <v>31</v>
      </c>
      <c r="D259" s="9" t="str">
        <f>IF($A259="","",1*'Material Costs'!$D$3)</f>
        <v/>
      </c>
      <c r="E259" s="9" t="str">
        <f>IF($A259="","",1*'Material Costs'!$D$2)</f>
        <v/>
      </c>
      <c r="F259" s="9" t="str">
        <f>IF($A259="","",IF($C259="Bubble Mailer",2,1)*'Material Costs'!$D$6)</f>
        <v/>
      </c>
      <c r="G259" s="9" t="str">
        <f>IF($A259="","",1*'Material Costs'!$D$7)</f>
        <v/>
      </c>
      <c r="H259" s="9" t="str">
        <f>IF($A259="","",IF($C259="Bubble Mailer",1,0)*'Material Costs'!$D$5)</f>
        <v/>
      </c>
      <c r="I259" s="9" t="str">
        <f>IF($A259="","",IF($C259="ESE (Ding Defend)",1,0)*'Material Costs'!$D$4)</f>
        <v/>
      </c>
      <c r="J259" s="9"/>
      <c r="K259" s="9" t="str">
        <f t="shared" si="36"/>
        <v/>
      </c>
      <c r="L259" s="9"/>
      <c r="M259" s="9"/>
      <c r="N259" s="9"/>
      <c r="O259" s="9" t="str">
        <f t="shared" si="37"/>
        <v/>
      </c>
      <c r="P259" s="9"/>
      <c r="Q259" s="9" t="str">
        <f>IF($A259="","",IF($O259="", "", ROUND($O259*Settings!$B$2+Settings!$B$3,2)))</f>
        <v/>
      </c>
      <c r="R259" s="9" t="str">
        <f>IF($A259="","",IF($L259="", "", Settings!$B$4))</f>
        <v/>
      </c>
      <c r="S259" s="9" t="str">
        <f t="shared" si="38"/>
        <v/>
      </c>
      <c r="T259" s="9" t="str">
        <f t="shared" si="39"/>
        <v/>
      </c>
      <c r="U259" s="9" t="str">
        <f>IF($A259="","",IF($K259="", "", ROUND((($K259 + Settings!$B$3 + $R259) - IF($M259="",0,$M259))/(1-Settings!$B$2),2)))</f>
        <v/>
      </c>
      <c r="V259" s="9" t="str">
        <f>IF($A259="","",$L259-($L259*Settings!$B$2)-$J259-($B259+SUM($D259:$I259)))</f>
        <v/>
      </c>
      <c r="W259" s="9" t="str">
        <f>IF($A259="","",(($B259+SUM($D259:$I259)+$J259+Settings!$B$3)/(1-Settings!$B$2))-$M259)</f>
        <v/>
      </c>
      <c r="X259" s="10" t="str">
        <f t="shared" si="40"/>
        <v/>
      </c>
      <c r="Y259" s="10" t="str">
        <f t="shared" si="41"/>
        <v/>
      </c>
      <c r="Z259" s="10" t="str">
        <f t="shared" si="42"/>
        <v/>
      </c>
      <c r="AA259" s="10" t="str">
        <f t="shared" si="43"/>
        <v/>
      </c>
      <c r="AC259" s="11"/>
      <c r="AD259" s="11"/>
      <c r="AE259" s="12" t="str">
        <f t="shared" si="44"/>
        <v/>
      </c>
    </row>
    <row r="260" spans="2:31" x14ac:dyDescent="0.25">
      <c r="B260" s="9"/>
      <c r="C260" t="s">
        <v>31</v>
      </c>
      <c r="D260" s="9" t="str">
        <f>IF($A260="","",1*'Material Costs'!$D$3)</f>
        <v/>
      </c>
      <c r="E260" s="9" t="str">
        <f>IF($A260="","",1*'Material Costs'!$D$2)</f>
        <v/>
      </c>
      <c r="F260" s="9" t="str">
        <f>IF($A260="","",IF($C260="Bubble Mailer",2,1)*'Material Costs'!$D$6)</f>
        <v/>
      </c>
      <c r="G260" s="9" t="str">
        <f>IF($A260="","",1*'Material Costs'!$D$7)</f>
        <v/>
      </c>
      <c r="H260" s="9" t="str">
        <f>IF($A260="","",IF($C260="Bubble Mailer",1,0)*'Material Costs'!$D$5)</f>
        <v/>
      </c>
      <c r="I260" s="9" t="str">
        <f>IF($A260="","",IF($C260="ESE (Ding Defend)",1,0)*'Material Costs'!$D$4)</f>
        <v/>
      </c>
      <c r="J260" s="9"/>
      <c r="K260" s="9" t="str">
        <f t="shared" si="36"/>
        <v/>
      </c>
      <c r="L260" s="9"/>
      <c r="M260" s="9"/>
      <c r="N260" s="9"/>
      <c r="O260" s="9" t="str">
        <f t="shared" si="37"/>
        <v/>
      </c>
      <c r="P260" s="9"/>
      <c r="Q260" s="9" t="str">
        <f>IF($A260="","",IF($O260="", "", ROUND($O260*Settings!$B$2+Settings!$B$3,2)))</f>
        <v/>
      </c>
      <c r="R260" s="9" t="str">
        <f>IF($A260="","",IF($L260="", "", Settings!$B$4))</f>
        <v/>
      </c>
      <c r="S260" s="9" t="str">
        <f t="shared" si="38"/>
        <v/>
      </c>
      <c r="T260" s="9" t="str">
        <f t="shared" si="39"/>
        <v/>
      </c>
      <c r="U260" s="9" t="str">
        <f>IF($A260="","",IF($K260="", "", ROUND((($K260 + Settings!$B$3 + $R260) - IF($M260="",0,$M260))/(1-Settings!$B$2),2)))</f>
        <v/>
      </c>
      <c r="V260" s="9" t="str">
        <f>IF($A260="","",$L260-($L260*Settings!$B$2)-$J260-($B260+SUM($D260:$I260)))</f>
        <v/>
      </c>
      <c r="W260" s="9" t="str">
        <f>IF($A260="","",(($B260+SUM($D260:$I260)+$J260+Settings!$B$3)/(1-Settings!$B$2))-$M260)</f>
        <v/>
      </c>
      <c r="X260" s="10" t="str">
        <f t="shared" si="40"/>
        <v/>
      </c>
      <c r="Y260" s="10" t="str">
        <f t="shared" si="41"/>
        <v/>
      </c>
      <c r="Z260" s="10" t="str">
        <f t="shared" si="42"/>
        <v/>
      </c>
      <c r="AA260" s="10" t="str">
        <f t="shared" si="43"/>
        <v/>
      </c>
      <c r="AC260" s="11"/>
      <c r="AD260" s="11"/>
      <c r="AE260" s="12" t="str">
        <f t="shared" si="44"/>
        <v/>
      </c>
    </row>
    <row r="261" spans="2:31" x14ac:dyDescent="0.25">
      <c r="B261" s="9"/>
      <c r="C261" t="s">
        <v>31</v>
      </c>
      <c r="D261" s="9" t="str">
        <f>IF($A261="","",1*'Material Costs'!$D$3)</f>
        <v/>
      </c>
      <c r="E261" s="9" t="str">
        <f>IF($A261="","",1*'Material Costs'!$D$2)</f>
        <v/>
      </c>
      <c r="F261" s="9" t="str">
        <f>IF($A261="","",IF($C261="Bubble Mailer",2,1)*'Material Costs'!$D$6)</f>
        <v/>
      </c>
      <c r="G261" s="9" t="str">
        <f>IF($A261="","",1*'Material Costs'!$D$7)</f>
        <v/>
      </c>
      <c r="H261" s="9" t="str">
        <f>IF($A261="","",IF($C261="Bubble Mailer",1,0)*'Material Costs'!$D$5)</f>
        <v/>
      </c>
      <c r="I261" s="9" t="str">
        <f>IF($A261="","",IF($C261="ESE (Ding Defend)",1,0)*'Material Costs'!$D$4)</f>
        <v/>
      </c>
      <c r="J261" s="9"/>
      <c r="K261" s="9" t="str">
        <f t="shared" si="36"/>
        <v/>
      </c>
      <c r="L261" s="9"/>
      <c r="M261" s="9"/>
      <c r="N261" s="9"/>
      <c r="O261" s="9" t="str">
        <f t="shared" si="37"/>
        <v/>
      </c>
      <c r="P261" s="9"/>
      <c r="Q261" s="9" t="str">
        <f>IF($A261="","",IF($O261="", "", ROUND($O261*Settings!$B$2+Settings!$B$3,2)))</f>
        <v/>
      </c>
      <c r="R261" s="9" t="str">
        <f>IF($A261="","",IF($L261="", "", Settings!$B$4))</f>
        <v/>
      </c>
      <c r="S261" s="9" t="str">
        <f t="shared" si="38"/>
        <v/>
      </c>
      <c r="T261" s="9" t="str">
        <f t="shared" si="39"/>
        <v/>
      </c>
      <c r="U261" s="9" t="str">
        <f>IF($A261="","",IF($K261="", "", ROUND((($K261 + Settings!$B$3 + $R261) - IF($M261="",0,$M261))/(1-Settings!$B$2),2)))</f>
        <v/>
      </c>
      <c r="V261" s="9" t="str">
        <f>IF($A261="","",$L261-($L261*Settings!$B$2)-$J261-($B261+SUM($D261:$I261)))</f>
        <v/>
      </c>
      <c r="W261" s="9" t="str">
        <f>IF($A261="","",(($B261+SUM($D261:$I261)+$J261+Settings!$B$3)/(1-Settings!$B$2))-$M261)</f>
        <v/>
      </c>
      <c r="X261" s="10" t="str">
        <f t="shared" si="40"/>
        <v/>
      </c>
      <c r="Y261" s="10" t="str">
        <f t="shared" si="41"/>
        <v/>
      </c>
      <c r="Z261" s="10" t="str">
        <f t="shared" si="42"/>
        <v/>
      </c>
      <c r="AA261" s="10" t="str">
        <f t="shared" si="43"/>
        <v/>
      </c>
      <c r="AC261" s="11"/>
      <c r="AD261" s="11"/>
      <c r="AE261" s="12" t="str">
        <f t="shared" si="44"/>
        <v/>
      </c>
    </row>
    <row r="262" spans="2:31" x14ac:dyDescent="0.25">
      <c r="B262" s="9"/>
      <c r="C262" t="s">
        <v>31</v>
      </c>
      <c r="D262" s="9" t="str">
        <f>IF($A262="","",1*'Material Costs'!$D$3)</f>
        <v/>
      </c>
      <c r="E262" s="9" t="str">
        <f>IF($A262="","",1*'Material Costs'!$D$2)</f>
        <v/>
      </c>
      <c r="F262" s="9" t="str">
        <f>IF($A262="","",IF($C262="Bubble Mailer",2,1)*'Material Costs'!$D$6)</f>
        <v/>
      </c>
      <c r="G262" s="9" t="str">
        <f>IF($A262="","",1*'Material Costs'!$D$7)</f>
        <v/>
      </c>
      <c r="H262" s="9" t="str">
        <f>IF($A262="","",IF($C262="Bubble Mailer",1,0)*'Material Costs'!$D$5)</f>
        <v/>
      </c>
      <c r="I262" s="9" t="str">
        <f>IF($A262="","",IF($C262="ESE (Ding Defend)",1,0)*'Material Costs'!$D$4)</f>
        <v/>
      </c>
      <c r="J262" s="9"/>
      <c r="K262" s="9" t="str">
        <f t="shared" si="36"/>
        <v/>
      </c>
      <c r="L262" s="9"/>
      <c r="M262" s="9"/>
      <c r="N262" s="9"/>
      <c r="O262" s="9" t="str">
        <f t="shared" si="37"/>
        <v/>
      </c>
      <c r="P262" s="9"/>
      <c r="Q262" s="9" t="str">
        <f>IF($A262="","",IF($O262="", "", ROUND($O262*Settings!$B$2+Settings!$B$3,2)))</f>
        <v/>
      </c>
      <c r="R262" s="9" t="str">
        <f>IF($A262="","",IF($L262="", "", Settings!$B$4))</f>
        <v/>
      </c>
      <c r="S262" s="9" t="str">
        <f t="shared" si="38"/>
        <v/>
      </c>
      <c r="T262" s="9" t="str">
        <f t="shared" si="39"/>
        <v/>
      </c>
      <c r="U262" s="9" t="str">
        <f>IF($A262="","",IF($K262="", "", ROUND((($K262 + Settings!$B$3 + $R262) - IF($M262="",0,$M262))/(1-Settings!$B$2),2)))</f>
        <v/>
      </c>
      <c r="V262" s="9" t="str">
        <f>IF($A262="","",$L262-($L262*Settings!$B$2)-$J262-($B262+SUM($D262:$I262)))</f>
        <v/>
      </c>
      <c r="W262" s="9" t="str">
        <f>IF($A262="","",(($B262+SUM($D262:$I262)+$J262+Settings!$B$3)/(1-Settings!$B$2))-$M262)</f>
        <v/>
      </c>
      <c r="X262" s="10" t="str">
        <f t="shared" si="40"/>
        <v/>
      </c>
      <c r="Y262" s="10" t="str">
        <f t="shared" si="41"/>
        <v/>
      </c>
      <c r="Z262" s="10" t="str">
        <f t="shared" si="42"/>
        <v/>
      </c>
      <c r="AA262" s="10" t="str">
        <f t="shared" si="43"/>
        <v/>
      </c>
      <c r="AC262" s="11"/>
      <c r="AD262" s="11"/>
      <c r="AE262" s="12" t="str">
        <f t="shared" si="44"/>
        <v/>
      </c>
    </row>
    <row r="263" spans="2:31" x14ac:dyDescent="0.25">
      <c r="B263" s="9"/>
      <c r="C263" t="s">
        <v>31</v>
      </c>
      <c r="D263" s="9" t="str">
        <f>IF($A263="","",1*'Material Costs'!$D$3)</f>
        <v/>
      </c>
      <c r="E263" s="9" t="str">
        <f>IF($A263="","",1*'Material Costs'!$D$2)</f>
        <v/>
      </c>
      <c r="F263" s="9" t="str">
        <f>IF($A263="","",IF($C263="Bubble Mailer",2,1)*'Material Costs'!$D$6)</f>
        <v/>
      </c>
      <c r="G263" s="9" t="str">
        <f>IF($A263="","",1*'Material Costs'!$D$7)</f>
        <v/>
      </c>
      <c r="H263" s="9" t="str">
        <f>IF($A263="","",IF($C263="Bubble Mailer",1,0)*'Material Costs'!$D$5)</f>
        <v/>
      </c>
      <c r="I263" s="9" t="str">
        <f>IF($A263="","",IF($C263="ESE (Ding Defend)",1,0)*'Material Costs'!$D$4)</f>
        <v/>
      </c>
      <c r="J263" s="9"/>
      <c r="K263" s="9" t="str">
        <f t="shared" si="36"/>
        <v/>
      </c>
      <c r="L263" s="9"/>
      <c r="M263" s="9"/>
      <c r="N263" s="9"/>
      <c r="O263" s="9" t="str">
        <f t="shared" si="37"/>
        <v/>
      </c>
      <c r="P263" s="9"/>
      <c r="Q263" s="9" t="str">
        <f>IF($A263="","",IF($O263="", "", ROUND($O263*Settings!$B$2+Settings!$B$3,2)))</f>
        <v/>
      </c>
      <c r="R263" s="9" t="str">
        <f>IF($A263="","",IF($L263="", "", Settings!$B$4))</f>
        <v/>
      </c>
      <c r="S263" s="9" t="str">
        <f t="shared" si="38"/>
        <v/>
      </c>
      <c r="T263" s="9" t="str">
        <f t="shared" si="39"/>
        <v/>
      </c>
      <c r="U263" s="9" t="str">
        <f>IF($A263="","",IF($K263="", "", ROUND((($K263 + Settings!$B$3 + $R263) - IF($M263="",0,$M263))/(1-Settings!$B$2),2)))</f>
        <v/>
      </c>
      <c r="V263" s="9" t="str">
        <f>IF($A263="","",$L263-($L263*Settings!$B$2)-$J263-($B263+SUM($D263:$I263)))</f>
        <v/>
      </c>
      <c r="W263" s="9" t="str">
        <f>IF($A263="","",(($B263+SUM($D263:$I263)+$J263+Settings!$B$3)/(1-Settings!$B$2))-$M263)</f>
        <v/>
      </c>
      <c r="X263" s="10" t="str">
        <f t="shared" si="40"/>
        <v/>
      </c>
      <c r="Y263" s="10" t="str">
        <f t="shared" si="41"/>
        <v/>
      </c>
      <c r="Z263" s="10" t="str">
        <f t="shared" si="42"/>
        <v/>
      </c>
      <c r="AA263" s="10" t="str">
        <f t="shared" si="43"/>
        <v/>
      </c>
      <c r="AC263" s="11"/>
      <c r="AD263" s="11"/>
      <c r="AE263" s="12" t="str">
        <f t="shared" si="44"/>
        <v/>
      </c>
    </row>
    <row r="264" spans="2:31" x14ac:dyDescent="0.25">
      <c r="B264" s="9"/>
      <c r="C264" t="s">
        <v>31</v>
      </c>
      <c r="D264" s="9" t="str">
        <f>IF($A264="","",1*'Material Costs'!$D$3)</f>
        <v/>
      </c>
      <c r="E264" s="9" t="str">
        <f>IF($A264="","",1*'Material Costs'!$D$2)</f>
        <v/>
      </c>
      <c r="F264" s="9" t="str">
        <f>IF($A264="","",IF($C264="Bubble Mailer",2,1)*'Material Costs'!$D$6)</f>
        <v/>
      </c>
      <c r="G264" s="9" t="str">
        <f>IF($A264="","",1*'Material Costs'!$D$7)</f>
        <v/>
      </c>
      <c r="H264" s="9" t="str">
        <f>IF($A264="","",IF($C264="Bubble Mailer",1,0)*'Material Costs'!$D$5)</f>
        <v/>
      </c>
      <c r="I264" s="9" t="str">
        <f>IF($A264="","",IF($C264="ESE (Ding Defend)",1,0)*'Material Costs'!$D$4)</f>
        <v/>
      </c>
      <c r="J264" s="9"/>
      <c r="K264" s="9" t="str">
        <f t="shared" si="36"/>
        <v/>
      </c>
      <c r="L264" s="9"/>
      <c r="M264" s="9"/>
      <c r="N264" s="9"/>
      <c r="O264" s="9" t="str">
        <f t="shared" si="37"/>
        <v/>
      </c>
      <c r="P264" s="9"/>
      <c r="Q264" s="9" t="str">
        <f>IF($A264="","",IF($O264="", "", ROUND($O264*Settings!$B$2+Settings!$B$3,2)))</f>
        <v/>
      </c>
      <c r="R264" s="9" t="str">
        <f>IF($A264="","",IF($L264="", "", Settings!$B$4))</f>
        <v/>
      </c>
      <c r="S264" s="9" t="str">
        <f t="shared" si="38"/>
        <v/>
      </c>
      <c r="T264" s="9" t="str">
        <f t="shared" si="39"/>
        <v/>
      </c>
      <c r="U264" s="9" t="str">
        <f>IF($A264="","",IF($K264="", "", ROUND((($K264 + Settings!$B$3 + $R264) - IF($M264="",0,$M264))/(1-Settings!$B$2),2)))</f>
        <v/>
      </c>
      <c r="V264" s="9" t="str">
        <f>IF($A264="","",$L264-($L264*Settings!$B$2)-$J264-($B264+SUM($D264:$I264)))</f>
        <v/>
      </c>
      <c r="W264" s="9" t="str">
        <f>IF($A264="","",(($B264+SUM($D264:$I264)+$J264+Settings!$B$3)/(1-Settings!$B$2))-$M264)</f>
        <v/>
      </c>
      <c r="X264" s="10" t="str">
        <f t="shared" si="40"/>
        <v/>
      </c>
      <c r="Y264" s="10" t="str">
        <f t="shared" si="41"/>
        <v/>
      </c>
      <c r="Z264" s="10" t="str">
        <f t="shared" si="42"/>
        <v/>
      </c>
      <c r="AA264" s="10" t="str">
        <f t="shared" si="43"/>
        <v/>
      </c>
      <c r="AC264" s="11"/>
      <c r="AD264" s="11"/>
      <c r="AE264" s="12" t="str">
        <f t="shared" si="44"/>
        <v/>
      </c>
    </row>
    <row r="265" spans="2:31" x14ac:dyDescent="0.25">
      <c r="B265" s="9"/>
      <c r="C265" t="s">
        <v>31</v>
      </c>
      <c r="D265" s="9" t="str">
        <f>IF($A265="","",1*'Material Costs'!$D$3)</f>
        <v/>
      </c>
      <c r="E265" s="9" t="str">
        <f>IF($A265="","",1*'Material Costs'!$D$2)</f>
        <v/>
      </c>
      <c r="F265" s="9" t="str">
        <f>IF($A265="","",IF($C265="Bubble Mailer",2,1)*'Material Costs'!$D$6)</f>
        <v/>
      </c>
      <c r="G265" s="9" t="str">
        <f>IF($A265="","",1*'Material Costs'!$D$7)</f>
        <v/>
      </c>
      <c r="H265" s="9" t="str">
        <f>IF($A265="","",IF($C265="Bubble Mailer",1,0)*'Material Costs'!$D$5)</f>
        <v/>
      </c>
      <c r="I265" s="9" t="str">
        <f>IF($A265="","",IF($C265="ESE (Ding Defend)",1,0)*'Material Costs'!$D$4)</f>
        <v/>
      </c>
      <c r="J265" s="9"/>
      <c r="K265" s="9" t="str">
        <f t="shared" si="36"/>
        <v/>
      </c>
      <c r="L265" s="9"/>
      <c r="M265" s="9"/>
      <c r="N265" s="9"/>
      <c r="O265" s="9" t="str">
        <f t="shared" si="37"/>
        <v/>
      </c>
      <c r="P265" s="9"/>
      <c r="Q265" s="9" t="str">
        <f>IF($A265="","",IF($O265="", "", ROUND($O265*Settings!$B$2+Settings!$B$3,2)))</f>
        <v/>
      </c>
      <c r="R265" s="9" t="str">
        <f>IF($A265="","",IF($L265="", "", Settings!$B$4))</f>
        <v/>
      </c>
      <c r="S265" s="9" t="str">
        <f t="shared" si="38"/>
        <v/>
      </c>
      <c r="T265" s="9" t="str">
        <f t="shared" si="39"/>
        <v/>
      </c>
      <c r="U265" s="9" t="str">
        <f>IF($A265="","",IF($K265="", "", ROUND((($K265 + Settings!$B$3 + $R265) - IF($M265="",0,$M265))/(1-Settings!$B$2),2)))</f>
        <v/>
      </c>
      <c r="V265" s="9" t="str">
        <f>IF($A265="","",$L265-($L265*Settings!$B$2)-$J265-($B265+SUM($D265:$I265)))</f>
        <v/>
      </c>
      <c r="W265" s="9" t="str">
        <f>IF($A265="","",(($B265+SUM($D265:$I265)+$J265+Settings!$B$3)/(1-Settings!$B$2))-$M265)</f>
        <v/>
      </c>
      <c r="X265" s="10" t="str">
        <f t="shared" si="40"/>
        <v/>
      </c>
      <c r="Y265" s="10" t="str">
        <f t="shared" si="41"/>
        <v/>
      </c>
      <c r="Z265" s="10" t="str">
        <f t="shared" si="42"/>
        <v/>
      </c>
      <c r="AA265" s="10" t="str">
        <f t="shared" si="43"/>
        <v/>
      </c>
      <c r="AC265" s="11"/>
      <c r="AD265" s="11"/>
      <c r="AE265" s="12" t="str">
        <f t="shared" si="44"/>
        <v/>
      </c>
    </row>
    <row r="266" spans="2:31" x14ac:dyDescent="0.25">
      <c r="B266" s="9"/>
      <c r="C266" t="s">
        <v>31</v>
      </c>
      <c r="D266" s="9" t="str">
        <f>IF($A266="","",1*'Material Costs'!$D$3)</f>
        <v/>
      </c>
      <c r="E266" s="9" t="str">
        <f>IF($A266="","",1*'Material Costs'!$D$2)</f>
        <v/>
      </c>
      <c r="F266" s="9" t="str">
        <f>IF($A266="","",IF($C266="Bubble Mailer",2,1)*'Material Costs'!$D$6)</f>
        <v/>
      </c>
      <c r="G266" s="9" t="str">
        <f>IF($A266="","",1*'Material Costs'!$D$7)</f>
        <v/>
      </c>
      <c r="H266" s="9" t="str">
        <f>IF($A266="","",IF($C266="Bubble Mailer",1,0)*'Material Costs'!$D$5)</f>
        <v/>
      </c>
      <c r="I266" s="9" t="str">
        <f>IF($A266="","",IF($C266="ESE (Ding Defend)",1,0)*'Material Costs'!$D$4)</f>
        <v/>
      </c>
      <c r="J266" s="9"/>
      <c r="K266" s="9" t="str">
        <f t="shared" si="36"/>
        <v/>
      </c>
      <c r="L266" s="9"/>
      <c r="M266" s="9"/>
      <c r="N266" s="9"/>
      <c r="O266" s="9" t="str">
        <f t="shared" si="37"/>
        <v/>
      </c>
      <c r="P266" s="9"/>
      <c r="Q266" s="9" t="str">
        <f>IF($A266="","",IF($O266="", "", ROUND($O266*Settings!$B$2+Settings!$B$3,2)))</f>
        <v/>
      </c>
      <c r="R266" s="9" t="str">
        <f>IF($A266="","",IF($L266="", "", Settings!$B$4))</f>
        <v/>
      </c>
      <c r="S266" s="9" t="str">
        <f t="shared" si="38"/>
        <v/>
      </c>
      <c r="T266" s="9" t="str">
        <f t="shared" si="39"/>
        <v/>
      </c>
      <c r="U266" s="9" t="str">
        <f>IF($A266="","",IF($K266="", "", ROUND((($K266 + Settings!$B$3 + $R266) - IF($M266="",0,$M266))/(1-Settings!$B$2),2)))</f>
        <v/>
      </c>
      <c r="V266" s="9" t="str">
        <f>IF($A266="","",$L266-($L266*Settings!$B$2)-$J266-($B266+SUM($D266:$I266)))</f>
        <v/>
      </c>
      <c r="W266" s="9" t="str">
        <f>IF($A266="","",(($B266+SUM($D266:$I266)+$J266+Settings!$B$3)/(1-Settings!$B$2))-$M266)</f>
        <v/>
      </c>
      <c r="X266" s="10" t="str">
        <f t="shared" si="40"/>
        <v/>
      </c>
      <c r="Y266" s="10" t="str">
        <f t="shared" si="41"/>
        <v/>
      </c>
      <c r="Z266" s="10" t="str">
        <f t="shared" si="42"/>
        <v/>
      </c>
      <c r="AA266" s="10" t="str">
        <f t="shared" si="43"/>
        <v/>
      </c>
      <c r="AC266" s="11"/>
      <c r="AD266" s="11"/>
      <c r="AE266" s="12" t="str">
        <f t="shared" si="44"/>
        <v/>
      </c>
    </row>
    <row r="267" spans="2:31" x14ac:dyDescent="0.25">
      <c r="B267" s="9"/>
      <c r="C267" t="s">
        <v>31</v>
      </c>
      <c r="D267" s="9" t="str">
        <f>IF($A267="","",1*'Material Costs'!$D$3)</f>
        <v/>
      </c>
      <c r="E267" s="9" t="str">
        <f>IF($A267="","",1*'Material Costs'!$D$2)</f>
        <v/>
      </c>
      <c r="F267" s="9" t="str">
        <f>IF($A267="","",IF($C267="Bubble Mailer",2,1)*'Material Costs'!$D$6)</f>
        <v/>
      </c>
      <c r="G267" s="9" t="str">
        <f>IF($A267="","",1*'Material Costs'!$D$7)</f>
        <v/>
      </c>
      <c r="H267" s="9" t="str">
        <f>IF($A267="","",IF($C267="Bubble Mailer",1,0)*'Material Costs'!$D$5)</f>
        <v/>
      </c>
      <c r="I267" s="9" t="str">
        <f>IF($A267="","",IF($C267="ESE (Ding Defend)",1,0)*'Material Costs'!$D$4)</f>
        <v/>
      </c>
      <c r="J267" s="9"/>
      <c r="K267" s="9" t="str">
        <f t="shared" si="36"/>
        <v/>
      </c>
      <c r="L267" s="9"/>
      <c r="M267" s="9"/>
      <c r="N267" s="9"/>
      <c r="O267" s="9" t="str">
        <f t="shared" si="37"/>
        <v/>
      </c>
      <c r="P267" s="9"/>
      <c r="Q267" s="9" t="str">
        <f>IF($A267="","",IF($O267="", "", ROUND($O267*Settings!$B$2+Settings!$B$3,2)))</f>
        <v/>
      </c>
      <c r="R267" s="9" t="str">
        <f>IF($A267="","",IF($L267="", "", Settings!$B$4))</f>
        <v/>
      </c>
      <c r="S267" s="9" t="str">
        <f t="shared" si="38"/>
        <v/>
      </c>
      <c r="T267" s="9" t="str">
        <f t="shared" si="39"/>
        <v/>
      </c>
      <c r="U267" s="9" t="str">
        <f>IF($A267="","",IF($K267="", "", ROUND((($K267 + Settings!$B$3 + $R267) - IF($M267="",0,$M267))/(1-Settings!$B$2),2)))</f>
        <v/>
      </c>
      <c r="V267" s="9" t="str">
        <f>IF($A267="","",$L267-($L267*Settings!$B$2)-$J267-($B267+SUM($D267:$I267)))</f>
        <v/>
      </c>
      <c r="W267" s="9" t="str">
        <f>IF($A267="","",(($B267+SUM($D267:$I267)+$J267+Settings!$B$3)/(1-Settings!$B$2))-$M267)</f>
        <v/>
      </c>
      <c r="X267" s="10" t="str">
        <f t="shared" si="40"/>
        <v/>
      </c>
      <c r="Y267" s="10" t="str">
        <f t="shared" si="41"/>
        <v/>
      </c>
      <c r="Z267" s="10" t="str">
        <f t="shared" si="42"/>
        <v/>
      </c>
      <c r="AA267" s="10" t="str">
        <f t="shared" si="43"/>
        <v/>
      </c>
      <c r="AC267" s="11"/>
      <c r="AD267" s="11"/>
      <c r="AE267" s="12" t="str">
        <f t="shared" si="44"/>
        <v/>
      </c>
    </row>
    <row r="268" spans="2:31" x14ac:dyDescent="0.25">
      <c r="B268" s="9"/>
      <c r="C268" t="s">
        <v>31</v>
      </c>
      <c r="D268" s="9" t="str">
        <f>IF($A268="","",1*'Material Costs'!$D$3)</f>
        <v/>
      </c>
      <c r="E268" s="9" t="str">
        <f>IF($A268="","",1*'Material Costs'!$D$2)</f>
        <v/>
      </c>
      <c r="F268" s="9" t="str">
        <f>IF($A268="","",IF($C268="Bubble Mailer",2,1)*'Material Costs'!$D$6)</f>
        <v/>
      </c>
      <c r="G268" s="9" t="str">
        <f>IF($A268="","",1*'Material Costs'!$D$7)</f>
        <v/>
      </c>
      <c r="H268" s="9" t="str">
        <f>IF($A268="","",IF($C268="Bubble Mailer",1,0)*'Material Costs'!$D$5)</f>
        <v/>
      </c>
      <c r="I268" s="9" t="str">
        <f>IF($A268="","",IF($C268="ESE (Ding Defend)",1,0)*'Material Costs'!$D$4)</f>
        <v/>
      </c>
      <c r="J268" s="9"/>
      <c r="K268" s="9" t="str">
        <f t="shared" si="36"/>
        <v/>
      </c>
      <c r="L268" s="9"/>
      <c r="M268" s="9"/>
      <c r="N268" s="9"/>
      <c r="O268" s="9" t="str">
        <f t="shared" si="37"/>
        <v/>
      </c>
      <c r="P268" s="9"/>
      <c r="Q268" s="9" t="str">
        <f>IF($A268="","",IF($O268="", "", ROUND($O268*Settings!$B$2+Settings!$B$3,2)))</f>
        <v/>
      </c>
      <c r="R268" s="9" t="str">
        <f>IF($A268="","",IF($L268="", "", Settings!$B$4))</f>
        <v/>
      </c>
      <c r="S268" s="9" t="str">
        <f t="shared" si="38"/>
        <v/>
      </c>
      <c r="T268" s="9" t="str">
        <f t="shared" si="39"/>
        <v/>
      </c>
      <c r="U268" s="9" t="str">
        <f>IF($A268="","",IF($K268="", "", ROUND((($K268 + Settings!$B$3 + $R268) - IF($M268="",0,$M268))/(1-Settings!$B$2),2)))</f>
        <v/>
      </c>
      <c r="V268" s="9" t="str">
        <f>IF($A268="","",$L268-($L268*Settings!$B$2)-$J268-($B268+SUM($D268:$I268)))</f>
        <v/>
      </c>
      <c r="W268" s="9" t="str">
        <f>IF($A268="","",(($B268+SUM($D268:$I268)+$J268+Settings!$B$3)/(1-Settings!$B$2))-$M268)</f>
        <v/>
      </c>
      <c r="X268" s="10" t="str">
        <f t="shared" si="40"/>
        <v/>
      </c>
      <c r="Y268" s="10" t="str">
        <f t="shared" si="41"/>
        <v/>
      </c>
      <c r="Z268" s="10" t="str">
        <f t="shared" si="42"/>
        <v/>
      </c>
      <c r="AA268" s="10" t="str">
        <f t="shared" si="43"/>
        <v/>
      </c>
      <c r="AC268" s="11"/>
      <c r="AD268" s="11"/>
      <c r="AE268" s="12" t="str">
        <f t="shared" si="44"/>
        <v/>
      </c>
    </row>
    <row r="269" spans="2:31" x14ac:dyDescent="0.25">
      <c r="B269" s="9"/>
      <c r="C269" t="s">
        <v>31</v>
      </c>
      <c r="D269" s="9" t="str">
        <f>IF($A269="","",1*'Material Costs'!$D$3)</f>
        <v/>
      </c>
      <c r="E269" s="9" t="str">
        <f>IF($A269="","",1*'Material Costs'!$D$2)</f>
        <v/>
      </c>
      <c r="F269" s="9" t="str">
        <f>IF($A269="","",IF($C269="Bubble Mailer",2,1)*'Material Costs'!$D$6)</f>
        <v/>
      </c>
      <c r="G269" s="9" t="str">
        <f>IF($A269="","",1*'Material Costs'!$D$7)</f>
        <v/>
      </c>
      <c r="H269" s="9" t="str">
        <f>IF($A269="","",IF($C269="Bubble Mailer",1,0)*'Material Costs'!$D$5)</f>
        <v/>
      </c>
      <c r="I269" s="9" t="str">
        <f>IF($A269="","",IF($C269="ESE (Ding Defend)",1,0)*'Material Costs'!$D$4)</f>
        <v/>
      </c>
      <c r="J269" s="9"/>
      <c r="K269" s="9" t="str">
        <f t="shared" si="36"/>
        <v/>
      </c>
      <c r="L269" s="9"/>
      <c r="M269" s="9"/>
      <c r="N269" s="9"/>
      <c r="O269" s="9" t="str">
        <f t="shared" si="37"/>
        <v/>
      </c>
      <c r="P269" s="9"/>
      <c r="Q269" s="9" t="str">
        <f>IF($A269="","",IF($O269="", "", ROUND($O269*Settings!$B$2+Settings!$B$3,2)))</f>
        <v/>
      </c>
      <c r="R269" s="9" t="str">
        <f>IF($A269="","",IF($L269="", "", Settings!$B$4))</f>
        <v/>
      </c>
      <c r="S269" s="9" t="str">
        <f t="shared" si="38"/>
        <v/>
      </c>
      <c r="T269" s="9" t="str">
        <f t="shared" si="39"/>
        <v/>
      </c>
      <c r="U269" s="9" t="str">
        <f>IF($A269="","",IF($K269="", "", ROUND((($K269 + Settings!$B$3 + $R269) - IF($M269="",0,$M269))/(1-Settings!$B$2),2)))</f>
        <v/>
      </c>
      <c r="V269" s="9" t="str">
        <f>IF($A269="","",$L269-($L269*Settings!$B$2)-$J269-($B269+SUM($D269:$I269)))</f>
        <v/>
      </c>
      <c r="W269" s="9" t="str">
        <f>IF($A269="","",(($B269+SUM($D269:$I269)+$J269+Settings!$B$3)/(1-Settings!$B$2))-$M269)</f>
        <v/>
      </c>
      <c r="X269" s="10" t="str">
        <f t="shared" si="40"/>
        <v/>
      </c>
      <c r="Y269" s="10" t="str">
        <f t="shared" si="41"/>
        <v/>
      </c>
      <c r="Z269" s="10" t="str">
        <f t="shared" si="42"/>
        <v/>
      </c>
      <c r="AA269" s="10" t="str">
        <f t="shared" si="43"/>
        <v/>
      </c>
      <c r="AC269" s="11"/>
      <c r="AD269" s="11"/>
      <c r="AE269" s="12" t="str">
        <f t="shared" si="44"/>
        <v/>
      </c>
    </row>
    <row r="270" spans="2:31" x14ac:dyDescent="0.25">
      <c r="B270" s="9"/>
      <c r="C270" t="s">
        <v>31</v>
      </c>
      <c r="D270" s="9" t="str">
        <f>IF($A270="","",1*'Material Costs'!$D$3)</f>
        <v/>
      </c>
      <c r="E270" s="9" t="str">
        <f>IF($A270="","",1*'Material Costs'!$D$2)</f>
        <v/>
      </c>
      <c r="F270" s="9" t="str">
        <f>IF($A270="","",IF($C270="Bubble Mailer",2,1)*'Material Costs'!$D$6)</f>
        <v/>
      </c>
      <c r="G270" s="9" t="str">
        <f>IF($A270="","",1*'Material Costs'!$D$7)</f>
        <v/>
      </c>
      <c r="H270" s="9" t="str">
        <f>IF($A270="","",IF($C270="Bubble Mailer",1,0)*'Material Costs'!$D$5)</f>
        <v/>
      </c>
      <c r="I270" s="9" t="str">
        <f>IF($A270="","",IF($C270="ESE (Ding Defend)",1,0)*'Material Costs'!$D$4)</f>
        <v/>
      </c>
      <c r="J270" s="9"/>
      <c r="K270" s="9" t="str">
        <f t="shared" si="36"/>
        <v/>
      </c>
      <c r="L270" s="9"/>
      <c r="M270" s="9"/>
      <c r="N270" s="9"/>
      <c r="O270" s="9" t="str">
        <f t="shared" si="37"/>
        <v/>
      </c>
      <c r="P270" s="9"/>
      <c r="Q270" s="9" t="str">
        <f>IF($A270="","",IF($O270="", "", ROUND($O270*Settings!$B$2+Settings!$B$3,2)))</f>
        <v/>
      </c>
      <c r="R270" s="9" t="str">
        <f>IF($A270="","",IF($L270="", "", Settings!$B$4))</f>
        <v/>
      </c>
      <c r="S270" s="9" t="str">
        <f t="shared" si="38"/>
        <v/>
      </c>
      <c r="T270" s="9" t="str">
        <f t="shared" si="39"/>
        <v/>
      </c>
      <c r="U270" s="9" t="str">
        <f>IF($A270="","",IF($K270="", "", ROUND((($K270 + Settings!$B$3 + $R270) - IF($M270="",0,$M270))/(1-Settings!$B$2),2)))</f>
        <v/>
      </c>
      <c r="V270" s="9" t="str">
        <f>IF($A270="","",$L270-($L270*Settings!$B$2)-$J270-($B270+SUM($D270:$I270)))</f>
        <v/>
      </c>
      <c r="W270" s="9" t="str">
        <f>IF($A270="","",(($B270+SUM($D270:$I270)+$J270+Settings!$B$3)/(1-Settings!$B$2))-$M270)</f>
        <v/>
      </c>
      <c r="X270" s="10" t="str">
        <f t="shared" si="40"/>
        <v/>
      </c>
      <c r="Y270" s="10" t="str">
        <f t="shared" si="41"/>
        <v/>
      </c>
      <c r="Z270" s="10" t="str">
        <f t="shared" si="42"/>
        <v/>
      </c>
      <c r="AA270" s="10" t="str">
        <f t="shared" si="43"/>
        <v/>
      </c>
      <c r="AC270" s="11"/>
      <c r="AD270" s="11"/>
      <c r="AE270" s="12" t="str">
        <f t="shared" si="44"/>
        <v/>
      </c>
    </row>
    <row r="271" spans="2:31" x14ac:dyDescent="0.25">
      <c r="B271" s="9"/>
      <c r="C271" t="s">
        <v>31</v>
      </c>
      <c r="D271" s="9" t="str">
        <f>IF($A271="","",1*'Material Costs'!$D$3)</f>
        <v/>
      </c>
      <c r="E271" s="9" t="str">
        <f>IF($A271="","",1*'Material Costs'!$D$2)</f>
        <v/>
      </c>
      <c r="F271" s="9" t="str">
        <f>IF($A271="","",IF($C271="Bubble Mailer",2,1)*'Material Costs'!$D$6)</f>
        <v/>
      </c>
      <c r="G271" s="9" t="str">
        <f>IF($A271="","",1*'Material Costs'!$D$7)</f>
        <v/>
      </c>
      <c r="H271" s="9" t="str">
        <f>IF($A271="","",IF($C271="Bubble Mailer",1,0)*'Material Costs'!$D$5)</f>
        <v/>
      </c>
      <c r="I271" s="9" t="str">
        <f>IF($A271="","",IF($C271="ESE (Ding Defend)",1,0)*'Material Costs'!$D$4)</f>
        <v/>
      </c>
      <c r="J271" s="9"/>
      <c r="K271" s="9" t="str">
        <f t="shared" si="36"/>
        <v/>
      </c>
      <c r="L271" s="9"/>
      <c r="M271" s="9"/>
      <c r="N271" s="9"/>
      <c r="O271" s="9" t="str">
        <f t="shared" si="37"/>
        <v/>
      </c>
      <c r="P271" s="9"/>
      <c r="Q271" s="9" t="str">
        <f>IF($A271="","",IF($O271="", "", ROUND($O271*Settings!$B$2+Settings!$B$3,2)))</f>
        <v/>
      </c>
      <c r="R271" s="9" t="str">
        <f>IF($A271="","",IF($L271="", "", Settings!$B$4))</f>
        <v/>
      </c>
      <c r="S271" s="9" t="str">
        <f t="shared" si="38"/>
        <v/>
      </c>
      <c r="T271" s="9" t="str">
        <f t="shared" si="39"/>
        <v/>
      </c>
      <c r="U271" s="9" t="str">
        <f>IF($A271="","",IF($K271="", "", ROUND((($K271 + Settings!$B$3 + $R271) - IF($M271="",0,$M271))/(1-Settings!$B$2),2)))</f>
        <v/>
      </c>
      <c r="V271" s="9" t="str">
        <f>IF($A271="","",$L271-($L271*Settings!$B$2)-$J271-($B271+SUM($D271:$I271)))</f>
        <v/>
      </c>
      <c r="W271" s="9" t="str">
        <f>IF($A271="","",(($B271+SUM($D271:$I271)+$J271+Settings!$B$3)/(1-Settings!$B$2))-$M271)</f>
        <v/>
      </c>
      <c r="X271" s="10" t="str">
        <f t="shared" si="40"/>
        <v/>
      </c>
      <c r="Y271" s="10" t="str">
        <f t="shared" si="41"/>
        <v/>
      </c>
      <c r="Z271" s="10" t="str">
        <f t="shared" si="42"/>
        <v/>
      </c>
      <c r="AA271" s="10" t="str">
        <f t="shared" si="43"/>
        <v/>
      </c>
      <c r="AC271" s="11"/>
      <c r="AD271" s="11"/>
      <c r="AE271" s="12" t="str">
        <f t="shared" si="44"/>
        <v/>
      </c>
    </row>
    <row r="272" spans="2:31" x14ac:dyDescent="0.25">
      <c r="B272" s="9"/>
      <c r="C272" t="s">
        <v>31</v>
      </c>
      <c r="D272" s="9" t="str">
        <f>IF($A272="","",1*'Material Costs'!$D$3)</f>
        <v/>
      </c>
      <c r="E272" s="9" t="str">
        <f>IF($A272="","",1*'Material Costs'!$D$2)</f>
        <v/>
      </c>
      <c r="F272" s="9" t="str">
        <f>IF($A272="","",IF($C272="Bubble Mailer",2,1)*'Material Costs'!$D$6)</f>
        <v/>
      </c>
      <c r="G272" s="9" t="str">
        <f>IF($A272="","",1*'Material Costs'!$D$7)</f>
        <v/>
      </c>
      <c r="H272" s="9" t="str">
        <f>IF($A272="","",IF($C272="Bubble Mailer",1,0)*'Material Costs'!$D$5)</f>
        <v/>
      </c>
      <c r="I272" s="9" t="str">
        <f>IF($A272="","",IF($C272="ESE (Ding Defend)",1,0)*'Material Costs'!$D$4)</f>
        <v/>
      </c>
      <c r="J272" s="9"/>
      <c r="K272" s="9" t="str">
        <f t="shared" si="36"/>
        <v/>
      </c>
      <c r="L272" s="9"/>
      <c r="M272" s="9"/>
      <c r="N272" s="9"/>
      <c r="O272" s="9" t="str">
        <f t="shared" si="37"/>
        <v/>
      </c>
      <c r="P272" s="9"/>
      <c r="Q272" s="9" t="str">
        <f>IF($A272="","",IF($O272="", "", ROUND($O272*Settings!$B$2+Settings!$B$3,2)))</f>
        <v/>
      </c>
      <c r="R272" s="9" t="str">
        <f>IF($A272="","",IF($L272="", "", Settings!$B$4))</f>
        <v/>
      </c>
      <c r="S272" s="9" t="str">
        <f t="shared" si="38"/>
        <v/>
      </c>
      <c r="T272" s="9" t="str">
        <f t="shared" si="39"/>
        <v/>
      </c>
      <c r="U272" s="9" t="str">
        <f>IF($A272="","",IF($K272="", "", ROUND((($K272 + Settings!$B$3 + $R272) - IF($M272="",0,$M272))/(1-Settings!$B$2),2)))</f>
        <v/>
      </c>
      <c r="V272" s="9" t="str">
        <f>IF($A272="","",$L272-($L272*Settings!$B$2)-$J272-($B272+SUM($D272:$I272)))</f>
        <v/>
      </c>
      <c r="W272" s="9" t="str">
        <f>IF($A272="","",(($B272+SUM($D272:$I272)+$J272+Settings!$B$3)/(1-Settings!$B$2))-$M272)</f>
        <v/>
      </c>
      <c r="X272" s="10" t="str">
        <f t="shared" si="40"/>
        <v/>
      </c>
      <c r="Y272" s="10" t="str">
        <f t="shared" si="41"/>
        <v/>
      </c>
      <c r="Z272" s="10" t="str">
        <f t="shared" si="42"/>
        <v/>
      </c>
      <c r="AA272" s="10" t="str">
        <f t="shared" si="43"/>
        <v/>
      </c>
      <c r="AC272" s="11"/>
      <c r="AD272" s="11"/>
      <c r="AE272" s="12" t="str">
        <f t="shared" si="44"/>
        <v/>
      </c>
    </row>
    <row r="273" spans="2:31" x14ac:dyDescent="0.25">
      <c r="B273" s="9"/>
      <c r="C273" t="s">
        <v>31</v>
      </c>
      <c r="D273" s="9" t="str">
        <f>IF($A273="","",1*'Material Costs'!$D$3)</f>
        <v/>
      </c>
      <c r="E273" s="9" t="str">
        <f>IF($A273="","",1*'Material Costs'!$D$2)</f>
        <v/>
      </c>
      <c r="F273" s="9" t="str">
        <f>IF($A273="","",IF($C273="Bubble Mailer",2,1)*'Material Costs'!$D$6)</f>
        <v/>
      </c>
      <c r="G273" s="9" t="str">
        <f>IF($A273="","",1*'Material Costs'!$D$7)</f>
        <v/>
      </c>
      <c r="H273" s="9" t="str">
        <f>IF($A273="","",IF($C273="Bubble Mailer",1,0)*'Material Costs'!$D$5)</f>
        <v/>
      </c>
      <c r="I273" s="9" t="str">
        <f>IF($A273="","",IF($C273="ESE (Ding Defend)",1,0)*'Material Costs'!$D$4)</f>
        <v/>
      </c>
      <c r="J273" s="9"/>
      <c r="K273" s="9" t="str">
        <f t="shared" si="36"/>
        <v/>
      </c>
      <c r="L273" s="9"/>
      <c r="M273" s="9"/>
      <c r="N273" s="9"/>
      <c r="O273" s="9" t="str">
        <f t="shared" si="37"/>
        <v/>
      </c>
      <c r="P273" s="9"/>
      <c r="Q273" s="9" t="str">
        <f>IF($A273="","",IF($O273="", "", ROUND($O273*Settings!$B$2+Settings!$B$3,2)))</f>
        <v/>
      </c>
      <c r="R273" s="9" t="str">
        <f>IF($A273="","",IF($L273="", "", Settings!$B$4))</f>
        <v/>
      </c>
      <c r="S273" s="9" t="str">
        <f t="shared" si="38"/>
        <v/>
      </c>
      <c r="T273" s="9" t="str">
        <f t="shared" si="39"/>
        <v/>
      </c>
      <c r="U273" s="9" t="str">
        <f>IF($A273="","",IF($K273="", "", ROUND((($K273 + Settings!$B$3 + $R273) - IF($M273="",0,$M273))/(1-Settings!$B$2),2)))</f>
        <v/>
      </c>
      <c r="V273" s="9" t="str">
        <f>IF($A273="","",$L273-($L273*Settings!$B$2)-$J273-($B273+SUM($D273:$I273)))</f>
        <v/>
      </c>
      <c r="W273" s="9" t="str">
        <f>IF($A273="","",(($B273+SUM($D273:$I273)+$J273+Settings!$B$3)/(1-Settings!$B$2))-$M273)</f>
        <v/>
      </c>
      <c r="X273" s="10" t="str">
        <f t="shared" si="40"/>
        <v/>
      </c>
      <c r="Y273" s="10" t="str">
        <f t="shared" si="41"/>
        <v/>
      </c>
      <c r="Z273" s="10" t="str">
        <f t="shared" si="42"/>
        <v/>
      </c>
      <c r="AA273" s="10" t="str">
        <f t="shared" si="43"/>
        <v/>
      </c>
      <c r="AC273" s="11"/>
      <c r="AD273" s="11"/>
      <c r="AE273" s="12" t="str">
        <f t="shared" si="44"/>
        <v/>
      </c>
    </row>
    <row r="274" spans="2:31" x14ac:dyDescent="0.25">
      <c r="B274" s="9"/>
      <c r="C274" t="s">
        <v>31</v>
      </c>
      <c r="D274" s="9" t="str">
        <f>IF($A274="","",1*'Material Costs'!$D$3)</f>
        <v/>
      </c>
      <c r="E274" s="9" t="str">
        <f>IF($A274="","",1*'Material Costs'!$D$2)</f>
        <v/>
      </c>
      <c r="F274" s="9" t="str">
        <f>IF($A274="","",IF($C274="Bubble Mailer",2,1)*'Material Costs'!$D$6)</f>
        <v/>
      </c>
      <c r="G274" s="9" t="str">
        <f>IF($A274="","",1*'Material Costs'!$D$7)</f>
        <v/>
      </c>
      <c r="H274" s="9" t="str">
        <f>IF($A274="","",IF($C274="Bubble Mailer",1,0)*'Material Costs'!$D$5)</f>
        <v/>
      </c>
      <c r="I274" s="9" t="str">
        <f>IF($A274="","",IF($C274="ESE (Ding Defend)",1,0)*'Material Costs'!$D$4)</f>
        <v/>
      </c>
      <c r="J274" s="9"/>
      <c r="K274" s="9" t="str">
        <f t="shared" si="36"/>
        <v/>
      </c>
      <c r="L274" s="9"/>
      <c r="M274" s="9"/>
      <c r="N274" s="9"/>
      <c r="O274" s="9" t="str">
        <f t="shared" si="37"/>
        <v/>
      </c>
      <c r="P274" s="9"/>
      <c r="Q274" s="9" t="str">
        <f>IF($A274="","",IF($O274="", "", ROUND($O274*Settings!$B$2+Settings!$B$3,2)))</f>
        <v/>
      </c>
      <c r="R274" s="9" t="str">
        <f>IF($A274="","",IF($L274="", "", Settings!$B$4))</f>
        <v/>
      </c>
      <c r="S274" s="9" t="str">
        <f t="shared" si="38"/>
        <v/>
      </c>
      <c r="T274" s="9" t="str">
        <f t="shared" si="39"/>
        <v/>
      </c>
      <c r="U274" s="9" t="str">
        <f>IF($A274="","",IF($K274="", "", ROUND((($K274 + Settings!$B$3 + $R274) - IF($M274="",0,$M274))/(1-Settings!$B$2),2)))</f>
        <v/>
      </c>
      <c r="V274" s="9" t="str">
        <f>IF($A274="","",$L274-($L274*Settings!$B$2)-$J274-($B274+SUM($D274:$I274)))</f>
        <v/>
      </c>
      <c r="W274" s="9" t="str">
        <f>IF($A274="","",(($B274+SUM($D274:$I274)+$J274+Settings!$B$3)/(1-Settings!$B$2))-$M274)</f>
        <v/>
      </c>
      <c r="X274" s="10" t="str">
        <f t="shared" si="40"/>
        <v/>
      </c>
      <c r="Y274" s="10" t="str">
        <f t="shared" si="41"/>
        <v/>
      </c>
      <c r="Z274" s="10" t="str">
        <f t="shared" si="42"/>
        <v/>
      </c>
      <c r="AA274" s="10" t="str">
        <f t="shared" si="43"/>
        <v/>
      </c>
      <c r="AC274" s="11"/>
      <c r="AD274" s="11"/>
      <c r="AE274" s="12" t="str">
        <f t="shared" si="44"/>
        <v/>
      </c>
    </row>
    <row r="275" spans="2:31" x14ac:dyDescent="0.25">
      <c r="B275" s="9"/>
      <c r="C275" t="s">
        <v>31</v>
      </c>
      <c r="D275" s="9" t="str">
        <f>IF($A275="","",1*'Material Costs'!$D$3)</f>
        <v/>
      </c>
      <c r="E275" s="9" t="str">
        <f>IF($A275="","",1*'Material Costs'!$D$2)</f>
        <v/>
      </c>
      <c r="F275" s="9" t="str">
        <f>IF($A275="","",IF($C275="Bubble Mailer",2,1)*'Material Costs'!$D$6)</f>
        <v/>
      </c>
      <c r="G275" s="9" t="str">
        <f>IF($A275="","",1*'Material Costs'!$D$7)</f>
        <v/>
      </c>
      <c r="H275" s="9" t="str">
        <f>IF($A275="","",IF($C275="Bubble Mailer",1,0)*'Material Costs'!$D$5)</f>
        <v/>
      </c>
      <c r="I275" s="9" t="str">
        <f>IF($A275="","",IF($C275="ESE (Ding Defend)",1,0)*'Material Costs'!$D$4)</f>
        <v/>
      </c>
      <c r="J275" s="9"/>
      <c r="K275" s="9" t="str">
        <f t="shared" si="36"/>
        <v/>
      </c>
      <c r="L275" s="9"/>
      <c r="M275" s="9"/>
      <c r="N275" s="9"/>
      <c r="O275" s="9" t="str">
        <f t="shared" si="37"/>
        <v/>
      </c>
      <c r="P275" s="9"/>
      <c r="Q275" s="9" t="str">
        <f>IF($A275="","",IF($O275="", "", ROUND($O275*Settings!$B$2+Settings!$B$3,2)))</f>
        <v/>
      </c>
      <c r="R275" s="9" t="str">
        <f>IF($A275="","",IF($L275="", "", Settings!$B$4))</f>
        <v/>
      </c>
      <c r="S275" s="9" t="str">
        <f t="shared" si="38"/>
        <v/>
      </c>
      <c r="T275" s="9" t="str">
        <f t="shared" si="39"/>
        <v/>
      </c>
      <c r="U275" s="9" t="str">
        <f>IF($A275="","",IF($K275="", "", ROUND((($K275 + Settings!$B$3 + $R275) - IF($M275="",0,$M275))/(1-Settings!$B$2),2)))</f>
        <v/>
      </c>
      <c r="V275" s="9" t="str">
        <f>IF($A275="","",$L275-($L275*Settings!$B$2)-$J275-($B275+SUM($D275:$I275)))</f>
        <v/>
      </c>
      <c r="W275" s="9" t="str">
        <f>IF($A275="","",(($B275+SUM($D275:$I275)+$J275+Settings!$B$3)/(1-Settings!$B$2))-$M275)</f>
        <v/>
      </c>
      <c r="X275" s="10" t="str">
        <f t="shared" si="40"/>
        <v/>
      </c>
      <c r="Y275" s="10" t="str">
        <f t="shared" si="41"/>
        <v/>
      </c>
      <c r="Z275" s="10" t="str">
        <f t="shared" si="42"/>
        <v/>
      </c>
      <c r="AA275" s="10" t="str">
        <f t="shared" si="43"/>
        <v/>
      </c>
      <c r="AC275" s="11"/>
      <c r="AD275" s="11"/>
      <c r="AE275" s="12" t="str">
        <f t="shared" si="44"/>
        <v/>
      </c>
    </row>
    <row r="276" spans="2:31" x14ac:dyDescent="0.25">
      <c r="B276" s="9"/>
      <c r="C276" t="s">
        <v>31</v>
      </c>
      <c r="D276" s="9" t="str">
        <f>IF($A276="","",1*'Material Costs'!$D$3)</f>
        <v/>
      </c>
      <c r="E276" s="9" t="str">
        <f>IF($A276="","",1*'Material Costs'!$D$2)</f>
        <v/>
      </c>
      <c r="F276" s="9" t="str">
        <f>IF($A276="","",IF($C276="Bubble Mailer",2,1)*'Material Costs'!$D$6)</f>
        <v/>
      </c>
      <c r="G276" s="9" t="str">
        <f>IF($A276="","",1*'Material Costs'!$D$7)</f>
        <v/>
      </c>
      <c r="H276" s="9" t="str">
        <f>IF($A276="","",IF($C276="Bubble Mailer",1,0)*'Material Costs'!$D$5)</f>
        <v/>
      </c>
      <c r="I276" s="9" t="str">
        <f>IF($A276="","",IF($C276="ESE (Ding Defend)",1,0)*'Material Costs'!$D$4)</f>
        <v/>
      </c>
      <c r="J276" s="9"/>
      <c r="K276" s="9" t="str">
        <f t="shared" si="36"/>
        <v/>
      </c>
      <c r="L276" s="9"/>
      <c r="M276" s="9"/>
      <c r="N276" s="9"/>
      <c r="O276" s="9" t="str">
        <f t="shared" si="37"/>
        <v/>
      </c>
      <c r="P276" s="9"/>
      <c r="Q276" s="9" t="str">
        <f>IF($A276="","",IF($O276="", "", ROUND($O276*Settings!$B$2+Settings!$B$3,2)))</f>
        <v/>
      </c>
      <c r="R276" s="9" t="str">
        <f>IF($A276="","",IF($L276="", "", Settings!$B$4))</f>
        <v/>
      </c>
      <c r="S276" s="9" t="str">
        <f t="shared" si="38"/>
        <v/>
      </c>
      <c r="T276" s="9" t="str">
        <f t="shared" si="39"/>
        <v/>
      </c>
      <c r="U276" s="9" t="str">
        <f>IF($A276="","",IF($K276="", "", ROUND((($K276 + Settings!$B$3 + $R276) - IF($M276="",0,$M276))/(1-Settings!$B$2),2)))</f>
        <v/>
      </c>
      <c r="V276" s="9" t="str">
        <f>IF($A276="","",$L276-($L276*Settings!$B$2)-$J276-($B276+SUM($D276:$I276)))</f>
        <v/>
      </c>
      <c r="W276" s="9" t="str">
        <f>IF($A276="","",(($B276+SUM($D276:$I276)+$J276+Settings!$B$3)/(1-Settings!$B$2))-$M276)</f>
        <v/>
      </c>
      <c r="X276" s="10" t="str">
        <f t="shared" si="40"/>
        <v/>
      </c>
      <c r="Y276" s="10" t="str">
        <f t="shared" si="41"/>
        <v/>
      </c>
      <c r="Z276" s="10" t="str">
        <f t="shared" si="42"/>
        <v/>
      </c>
      <c r="AA276" s="10" t="str">
        <f t="shared" si="43"/>
        <v/>
      </c>
      <c r="AC276" s="11"/>
      <c r="AD276" s="11"/>
      <c r="AE276" s="12" t="str">
        <f t="shared" si="44"/>
        <v/>
      </c>
    </row>
    <row r="277" spans="2:31" x14ac:dyDescent="0.25">
      <c r="B277" s="9"/>
      <c r="C277" t="s">
        <v>31</v>
      </c>
      <c r="D277" s="9" t="str">
        <f>IF($A277="","",1*'Material Costs'!$D$3)</f>
        <v/>
      </c>
      <c r="E277" s="9" t="str">
        <f>IF($A277="","",1*'Material Costs'!$D$2)</f>
        <v/>
      </c>
      <c r="F277" s="9" t="str">
        <f>IF($A277="","",IF($C277="Bubble Mailer",2,1)*'Material Costs'!$D$6)</f>
        <v/>
      </c>
      <c r="G277" s="9" t="str">
        <f>IF($A277="","",1*'Material Costs'!$D$7)</f>
        <v/>
      </c>
      <c r="H277" s="9" t="str">
        <f>IF($A277="","",IF($C277="Bubble Mailer",1,0)*'Material Costs'!$D$5)</f>
        <v/>
      </c>
      <c r="I277" s="9" t="str">
        <f>IF($A277="","",IF($C277="ESE (Ding Defend)",1,0)*'Material Costs'!$D$4)</f>
        <v/>
      </c>
      <c r="J277" s="9"/>
      <c r="K277" s="9" t="str">
        <f t="shared" si="36"/>
        <v/>
      </c>
      <c r="L277" s="9"/>
      <c r="M277" s="9"/>
      <c r="N277" s="9"/>
      <c r="O277" s="9" t="str">
        <f t="shared" si="37"/>
        <v/>
      </c>
      <c r="P277" s="9"/>
      <c r="Q277" s="9" t="str">
        <f>IF($A277="","",IF($O277="", "", ROUND($O277*Settings!$B$2+Settings!$B$3,2)))</f>
        <v/>
      </c>
      <c r="R277" s="9" t="str">
        <f>IF($A277="","",IF($L277="", "", Settings!$B$4))</f>
        <v/>
      </c>
      <c r="S277" s="9" t="str">
        <f t="shared" si="38"/>
        <v/>
      </c>
      <c r="T277" s="9" t="str">
        <f t="shared" si="39"/>
        <v/>
      </c>
      <c r="U277" s="9" t="str">
        <f>IF($A277="","",IF($K277="", "", ROUND((($K277 + Settings!$B$3 + $R277) - IF($M277="",0,$M277))/(1-Settings!$B$2),2)))</f>
        <v/>
      </c>
      <c r="V277" s="9" t="str">
        <f>IF($A277="","",$L277-($L277*Settings!$B$2)-$J277-($B277+SUM($D277:$I277)))</f>
        <v/>
      </c>
      <c r="W277" s="9" t="str">
        <f>IF($A277="","",(($B277+SUM($D277:$I277)+$J277+Settings!$B$3)/(1-Settings!$B$2))-$M277)</f>
        <v/>
      </c>
      <c r="X277" s="10" t="str">
        <f t="shared" si="40"/>
        <v/>
      </c>
      <c r="Y277" s="10" t="str">
        <f t="shared" si="41"/>
        <v/>
      </c>
      <c r="Z277" s="10" t="str">
        <f t="shared" si="42"/>
        <v/>
      </c>
      <c r="AA277" s="10" t="str">
        <f t="shared" si="43"/>
        <v/>
      </c>
      <c r="AC277" s="11"/>
      <c r="AD277" s="11"/>
      <c r="AE277" s="12" t="str">
        <f t="shared" si="44"/>
        <v/>
      </c>
    </row>
    <row r="278" spans="2:31" x14ac:dyDescent="0.25">
      <c r="B278" s="9"/>
      <c r="C278" t="s">
        <v>31</v>
      </c>
      <c r="D278" s="9" t="str">
        <f>IF($A278="","",1*'Material Costs'!$D$3)</f>
        <v/>
      </c>
      <c r="E278" s="9" t="str">
        <f>IF($A278="","",1*'Material Costs'!$D$2)</f>
        <v/>
      </c>
      <c r="F278" s="9" t="str">
        <f>IF($A278="","",IF($C278="Bubble Mailer",2,1)*'Material Costs'!$D$6)</f>
        <v/>
      </c>
      <c r="G278" s="9" t="str">
        <f>IF($A278="","",1*'Material Costs'!$D$7)</f>
        <v/>
      </c>
      <c r="H278" s="9" t="str">
        <f>IF($A278="","",IF($C278="Bubble Mailer",1,0)*'Material Costs'!$D$5)</f>
        <v/>
      </c>
      <c r="I278" s="9" t="str">
        <f>IF($A278="","",IF($C278="ESE (Ding Defend)",1,0)*'Material Costs'!$D$4)</f>
        <v/>
      </c>
      <c r="J278" s="9"/>
      <c r="K278" s="9" t="str">
        <f t="shared" si="36"/>
        <v/>
      </c>
      <c r="L278" s="9"/>
      <c r="M278" s="9"/>
      <c r="N278" s="9"/>
      <c r="O278" s="9" t="str">
        <f t="shared" si="37"/>
        <v/>
      </c>
      <c r="P278" s="9"/>
      <c r="Q278" s="9" t="str">
        <f>IF($A278="","",IF($O278="", "", ROUND($O278*Settings!$B$2+Settings!$B$3,2)))</f>
        <v/>
      </c>
      <c r="R278" s="9" t="str">
        <f>IF($A278="","",IF($L278="", "", Settings!$B$4))</f>
        <v/>
      </c>
      <c r="S278" s="9" t="str">
        <f t="shared" si="38"/>
        <v/>
      </c>
      <c r="T278" s="9" t="str">
        <f t="shared" si="39"/>
        <v/>
      </c>
      <c r="U278" s="9" t="str">
        <f>IF($A278="","",IF($K278="", "", ROUND((($K278 + Settings!$B$3 + $R278) - IF($M278="",0,$M278))/(1-Settings!$B$2),2)))</f>
        <v/>
      </c>
      <c r="V278" s="9" t="str">
        <f>IF($A278="","",$L278-($L278*Settings!$B$2)-$J278-($B278+SUM($D278:$I278)))</f>
        <v/>
      </c>
      <c r="W278" s="9" t="str">
        <f>IF($A278="","",(($B278+SUM($D278:$I278)+$J278+Settings!$B$3)/(1-Settings!$B$2))-$M278)</f>
        <v/>
      </c>
      <c r="X278" s="10" t="str">
        <f t="shared" si="40"/>
        <v/>
      </c>
      <c r="Y278" s="10" t="str">
        <f t="shared" si="41"/>
        <v/>
      </c>
      <c r="Z278" s="10" t="str">
        <f t="shared" si="42"/>
        <v/>
      </c>
      <c r="AA278" s="10" t="str">
        <f t="shared" si="43"/>
        <v/>
      </c>
      <c r="AC278" s="11"/>
      <c r="AD278" s="11"/>
      <c r="AE278" s="12" t="str">
        <f t="shared" si="44"/>
        <v/>
      </c>
    </row>
    <row r="279" spans="2:31" x14ac:dyDescent="0.25">
      <c r="B279" s="9"/>
      <c r="C279" t="s">
        <v>31</v>
      </c>
      <c r="D279" s="9" t="str">
        <f>IF($A279="","",1*'Material Costs'!$D$3)</f>
        <v/>
      </c>
      <c r="E279" s="9" t="str">
        <f>IF($A279="","",1*'Material Costs'!$D$2)</f>
        <v/>
      </c>
      <c r="F279" s="9" t="str">
        <f>IF($A279="","",IF($C279="Bubble Mailer",2,1)*'Material Costs'!$D$6)</f>
        <v/>
      </c>
      <c r="G279" s="9" t="str">
        <f>IF($A279="","",1*'Material Costs'!$D$7)</f>
        <v/>
      </c>
      <c r="H279" s="9" t="str">
        <f>IF($A279="","",IF($C279="Bubble Mailer",1,0)*'Material Costs'!$D$5)</f>
        <v/>
      </c>
      <c r="I279" s="9" t="str">
        <f>IF($A279="","",IF($C279="ESE (Ding Defend)",1,0)*'Material Costs'!$D$4)</f>
        <v/>
      </c>
      <c r="J279" s="9"/>
      <c r="K279" s="9" t="str">
        <f t="shared" si="36"/>
        <v/>
      </c>
      <c r="L279" s="9"/>
      <c r="M279" s="9"/>
      <c r="N279" s="9"/>
      <c r="O279" s="9" t="str">
        <f t="shared" si="37"/>
        <v/>
      </c>
      <c r="P279" s="9"/>
      <c r="Q279" s="9" t="str">
        <f>IF($A279="","",IF($O279="", "", ROUND($O279*Settings!$B$2+Settings!$B$3,2)))</f>
        <v/>
      </c>
      <c r="R279" s="9" t="str">
        <f>IF($A279="","",IF($L279="", "", Settings!$B$4))</f>
        <v/>
      </c>
      <c r="S279" s="9" t="str">
        <f t="shared" si="38"/>
        <v/>
      </c>
      <c r="T279" s="9" t="str">
        <f t="shared" si="39"/>
        <v/>
      </c>
      <c r="U279" s="9" t="str">
        <f>IF($A279="","",IF($K279="", "", ROUND((($K279 + Settings!$B$3 + $R279) - IF($M279="",0,$M279))/(1-Settings!$B$2),2)))</f>
        <v/>
      </c>
      <c r="V279" s="9" t="str">
        <f>IF($A279="","",$L279-($L279*Settings!$B$2)-$J279-($B279+SUM($D279:$I279)))</f>
        <v/>
      </c>
      <c r="W279" s="9" t="str">
        <f>IF($A279="","",(($B279+SUM($D279:$I279)+$J279+Settings!$B$3)/(1-Settings!$B$2))-$M279)</f>
        <v/>
      </c>
      <c r="X279" s="10" t="str">
        <f t="shared" si="40"/>
        <v/>
      </c>
      <c r="Y279" s="10" t="str">
        <f t="shared" si="41"/>
        <v/>
      </c>
      <c r="Z279" s="10" t="str">
        <f t="shared" si="42"/>
        <v/>
      </c>
      <c r="AA279" s="10" t="str">
        <f t="shared" si="43"/>
        <v/>
      </c>
      <c r="AC279" s="11"/>
      <c r="AD279" s="11"/>
      <c r="AE279" s="12" t="str">
        <f t="shared" si="44"/>
        <v/>
      </c>
    </row>
    <row r="280" spans="2:31" x14ac:dyDescent="0.25">
      <c r="B280" s="9"/>
      <c r="C280" t="s">
        <v>31</v>
      </c>
      <c r="D280" s="9" t="str">
        <f>IF($A280="","",1*'Material Costs'!$D$3)</f>
        <v/>
      </c>
      <c r="E280" s="9" t="str">
        <f>IF($A280="","",1*'Material Costs'!$D$2)</f>
        <v/>
      </c>
      <c r="F280" s="9" t="str">
        <f>IF($A280="","",IF($C280="Bubble Mailer",2,1)*'Material Costs'!$D$6)</f>
        <v/>
      </c>
      <c r="G280" s="9" t="str">
        <f>IF($A280="","",1*'Material Costs'!$D$7)</f>
        <v/>
      </c>
      <c r="H280" s="9" t="str">
        <f>IF($A280="","",IF($C280="Bubble Mailer",1,0)*'Material Costs'!$D$5)</f>
        <v/>
      </c>
      <c r="I280" s="9" t="str">
        <f>IF($A280="","",IF($C280="ESE (Ding Defend)",1,0)*'Material Costs'!$D$4)</f>
        <v/>
      </c>
      <c r="J280" s="9"/>
      <c r="K280" s="9" t="str">
        <f t="shared" si="36"/>
        <v/>
      </c>
      <c r="L280" s="9"/>
      <c r="M280" s="9"/>
      <c r="N280" s="9"/>
      <c r="O280" s="9" t="str">
        <f t="shared" si="37"/>
        <v/>
      </c>
      <c r="P280" s="9"/>
      <c r="Q280" s="9" t="str">
        <f>IF($A280="","",IF($O280="", "", ROUND($O280*Settings!$B$2+Settings!$B$3,2)))</f>
        <v/>
      </c>
      <c r="R280" s="9" t="str">
        <f>IF($A280="","",IF($L280="", "", Settings!$B$4))</f>
        <v/>
      </c>
      <c r="S280" s="9" t="str">
        <f t="shared" si="38"/>
        <v/>
      </c>
      <c r="T280" s="9" t="str">
        <f t="shared" si="39"/>
        <v/>
      </c>
      <c r="U280" s="9" t="str">
        <f>IF($A280="","",IF($K280="", "", ROUND((($K280 + Settings!$B$3 + $R280) - IF($M280="",0,$M280))/(1-Settings!$B$2),2)))</f>
        <v/>
      </c>
      <c r="V280" s="9" t="str">
        <f>IF($A280="","",$L280-($L280*Settings!$B$2)-$J280-($B280+SUM($D280:$I280)))</f>
        <v/>
      </c>
      <c r="W280" s="9" t="str">
        <f>IF($A280="","",(($B280+SUM($D280:$I280)+$J280+Settings!$B$3)/(1-Settings!$B$2))-$M280)</f>
        <v/>
      </c>
      <c r="X280" s="10" t="str">
        <f t="shared" si="40"/>
        <v/>
      </c>
      <c r="Y280" s="10" t="str">
        <f t="shared" si="41"/>
        <v/>
      </c>
      <c r="Z280" s="10" t="str">
        <f t="shared" si="42"/>
        <v/>
      </c>
      <c r="AA280" s="10" t="str">
        <f t="shared" si="43"/>
        <v/>
      </c>
      <c r="AC280" s="11"/>
      <c r="AD280" s="11"/>
      <c r="AE280" s="12" t="str">
        <f t="shared" si="44"/>
        <v/>
      </c>
    </row>
    <row r="281" spans="2:31" x14ac:dyDescent="0.25">
      <c r="B281" s="9"/>
      <c r="C281" t="s">
        <v>31</v>
      </c>
      <c r="D281" s="9" t="str">
        <f>IF($A281="","",1*'Material Costs'!$D$3)</f>
        <v/>
      </c>
      <c r="E281" s="9" t="str">
        <f>IF($A281="","",1*'Material Costs'!$D$2)</f>
        <v/>
      </c>
      <c r="F281" s="9" t="str">
        <f>IF($A281="","",IF($C281="Bubble Mailer",2,1)*'Material Costs'!$D$6)</f>
        <v/>
      </c>
      <c r="G281" s="9" t="str">
        <f>IF($A281="","",1*'Material Costs'!$D$7)</f>
        <v/>
      </c>
      <c r="H281" s="9" t="str">
        <f>IF($A281="","",IF($C281="Bubble Mailer",1,0)*'Material Costs'!$D$5)</f>
        <v/>
      </c>
      <c r="I281" s="9" t="str">
        <f>IF($A281="","",IF($C281="ESE (Ding Defend)",1,0)*'Material Costs'!$D$4)</f>
        <v/>
      </c>
      <c r="J281" s="9"/>
      <c r="K281" s="9" t="str">
        <f t="shared" si="36"/>
        <v/>
      </c>
      <c r="L281" s="9"/>
      <c r="M281" s="9"/>
      <c r="N281" s="9"/>
      <c r="O281" s="9" t="str">
        <f t="shared" si="37"/>
        <v/>
      </c>
      <c r="P281" s="9"/>
      <c r="Q281" s="9" t="str">
        <f>IF($A281="","",IF($O281="", "", ROUND($O281*Settings!$B$2+Settings!$B$3,2)))</f>
        <v/>
      </c>
      <c r="R281" s="9" t="str">
        <f>IF($A281="","",IF($L281="", "", Settings!$B$4))</f>
        <v/>
      </c>
      <c r="S281" s="9" t="str">
        <f t="shared" si="38"/>
        <v/>
      </c>
      <c r="T281" s="9" t="str">
        <f t="shared" si="39"/>
        <v/>
      </c>
      <c r="U281" s="9" t="str">
        <f>IF($A281="","",IF($K281="", "", ROUND((($K281 + Settings!$B$3 + $R281) - IF($M281="",0,$M281))/(1-Settings!$B$2),2)))</f>
        <v/>
      </c>
      <c r="V281" s="9" t="str">
        <f>IF($A281="","",$L281-($L281*Settings!$B$2)-$J281-($B281+SUM($D281:$I281)))</f>
        <v/>
      </c>
      <c r="W281" s="9" t="str">
        <f>IF($A281="","",(($B281+SUM($D281:$I281)+$J281+Settings!$B$3)/(1-Settings!$B$2))-$M281)</f>
        <v/>
      </c>
      <c r="X281" s="10" t="str">
        <f t="shared" si="40"/>
        <v/>
      </c>
      <c r="Y281" s="10" t="str">
        <f t="shared" si="41"/>
        <v/>
      </c>
      <c r="Z281" s="10" t="str">
        <f t="shared" si="42"/>
        <v/>
      </c>
      <c r="AA281" s="10" t="str">
        <f t="shared" si="43"/>
        <v/>
      </c>
      <c r="AC281" s="11"/>
      <c r="AD281" s="11"/>
      <c r="AE281" s="12" t="str">
        <f t="shared" si="44"/>
        <v/>
      </c>
    </row>
    <row r="282" spans="2:31" x14ac:dyDescent="0.25">
      <c r="B282" s="9"/>
      <c r="C282" t="s">
        <v>31</v>
      </c>
      <c r="D282" s="9" t="str">
        <f>IF($A282="","",1*'Material Costs'!$D$3)</f>
        <v/>
      </c>
      <c r="E282" s="9" t="str">
        <f>IF($A282="","",1*'Material Costs'!$D$2)</f>
        <v/>
      </c>
      <c r="F282" s="9" t="str">
        <f>IF($A282="","",IF($C282="Bubble Mailer",2,1)*'Material Costs'!$D$6)</f>
        <v/>
      </c>
      <c r="G282" s="9" t="str">
        <f>IF($A282="","",1*'Material Costs'!$D$7)</f>
        <v/>
      </c>
      <c r="H282" s="9" t="str">
        <f>IF($A282="","",IF($C282="Bubble Mailer",1,0)*'Material Costs'!$D$5)</f>
        <v/>
      </c>
      <c r="I282" s="9" t="str">
        <f>IF($A282="","",IF($C282="ESE (Ding Defend)",1,0)*'Material Costs'!$D$4)</f>
        <v/>
      </c>
      <c r="J282" s="9"/>
      <c r="K282" s="9" t="str">
        <f t="shared" si="36"/>
        <v/>
      </c>
      <c r="L282" s="9"/>
      <c r="M282" s="9"/>
      <c r="N282" s="9"/>
      <c r="O282" s="9" t="str">
        <f t="shared" si="37"/>
        <v/>
      </c>
      <c r="P282" s="9"/>
      <c r="Q282" s="9" t="str">
        <f>IF($A282="","",IF($O282="", "", ROUND($O282*Settings!$B$2+Settings!$B$3,2)))</f>
        <v/>
      </c>
      <c r="R282" s="9" t="str">
        <f>IF($A282="","",IF($L282="", "", Settings!$B$4))</f>
        <v/>
      </c>
      <c r="S282" s="9" t="str">
        <f t="shared" si="38"/>
        <v/>
      </c>
      <c r="T282" s="9" t="str">
        <f t="shared" si="39"/>
        <v/>
      </c>
      <c r="U282" s="9" t="str">
        <f>IF($A282="","",IF($K282="", "", ROUND((($K282 + Settings!$B$3 + $R282) - IF($M282="",0,$M282))/(1-Settings!$B$2),2)))</f>
        <v/>
      </c>
      <c r="V282" s="9" t="str">
        <f>IF($A282="","",$L282-($L282*Settings!$B$2)-$J282-($B282+SUM($D282:$I282)))</f>
        <v/>
      </c>
      <c r="W282" s="9" t="str">
        <f>IF($A282="","",(($B282+SUM($D282:$I282)+$J282+Settings!$B$3)/(1-Settings!$B$2))-$M282)</f>
        <v/>
      </c>
      <c r="X282" s="10" t="str">
        <f t="shared" si="40"/>
        <v/>
      </c>
      <c r="Y282" s="10" t="str">
        <f t="shared" si="41"/>
        <v/>
      </c>
      <c r="Z282" s="10" t="str">
        <f t="shared" si="42"/>
        <v/>
      </c>
      <c r="AA282" s="10" t="str">
        <f t="shared" si="43"/>
        <v/>
      </c>
      <c r="AC282" s="11"/>
      <c r="AD282" s="11"/>
      <c r="AE282" s="12" t="str">
        <f t="shared" si="44"/>
        <v/>
      </c>
    </row>
    <row r="283" spans="2:31" x14ac:dyDescent="0.25">
      <c r="B283" s="9"/>
      <c r="C283" t="s">
        <v>31</v>
      </c>
      <c r="D283" s="9" t="str">
        <f>IF($A283="","",1*'Material Costs'!$D$3)</f>
        <v/>
      </c>
      <c r="E283" s="9" t="str">
        <f>IF($A283="","",1*'Material Costs'!$D$2)</f>
        <v/>
      </c>
      <c r="F283" s="9" t="str">
        <f>IF($A283="","",IF($C283="Bubble Mailer",2,1)*'Material Costs'!$D$6)</f>
        <v/>
      </c>
      <c r="G283" s="9" t="str">
        <f>IF($A283="","",1*'Material Costs'!$D$7)</f>
        <v/>
      </c>
      <c r="H283" s="9" t="str">
        <f>IF($A283="","",IF($C283="Bubble Mailer",1,0)*'Material Costs'!$D$5)</f>
        <v/>
      </c>
      <c r="I283" s="9" t="str">
        <f>IF($A283="","",IF($C283="ESE (Ding Defend)",1,0)*'Material Costs'!$D$4)</f>
        <v/>
      </c>
      <c r="J283" s="9"/>
      <c r="K283" s="9" t="str">
        <f t="shared" si="36"/>
        <v/>
      </c>
      <c r="L283" s="9"/>
      <c r="M283" s="9"/>
      <c r="N283" s="9"/>
      <c r="O283" s="9" t="str">
        <f t="shared" si="37"/>
        <v/>
      </c>
      <c r="P283" s="9"/>
      <c r="Q283" s="9" t="str">
        <f>IF($A283="","",IF($O283="", "", ROUND($O283*Settings!$B$2+Settings!$B$3,2)))</f>
        <v/>
      </c>
      <c r="R283" s="9" t="str">
        <f>IF($A283="","",IF($L283="", "", Settings!$B$4))</f>
        <v/>
      </c>
      <c r="S283" s="9" t="str">
        <f t="shared" si="38"/>
        <v/>
      </c>
      <c r="T283" s="9" t="str">
        <f t="shared" si="39"/>
        <v/>
      </c>
      <c r="U283" s="9" t="str">
        <f>IF($A283="","",IF($K283="", "", ROUND((($K283 + Settings!$B$3 + $R283) - IF($M283="",0,$M283))/(1-Settings!$B$2),2)))</f>
        <v/>
      </c>
      <c r="V283" s="9" t="str">
        <f>IF($A283="","",$L283-($L283*Settings!$B$2)-$J283-($B283+SUM($D283:$I283)))</f>
        <v/>
      </c>
      <c r="W283" s="9" t="str">
        <f>IF($A283="","",(($B283+SUM($D283:$I283)+$J283+Settings!$B$3)/(1-Settings!$B$2))-$M283)</f>
        <v/>
      </c>
      <c r="X283" s="10" t="str">
        <f t="shared" si="40"/>
        <v/>
      </c>
      <c r="Y283" s="10" t="str">
        <f t="shared" si="41"/>
        <v/>
      </c>
      <c r="Z283" s="10" t="str">
        <f t="shared" si="42"/>
        <v/>
      </c>
      <c r="AA283" s="10" t="str">
        <f t="shared" si="43"/>
        <v/>
      </c>
      <c r="AC283" s="11"/>
      <c r="AD283" s="11"/>
      <c r="AE283" s="12" t="str">
        <f t="shared" si="44"/>
        <v/>
      </c>
    </row>
    <row r="284" spans="2:31" x14ac:dyDescent="0.25">
      <c r="B284" s="9"/>
      <c r="C284" t="s">
        <v>31</v>
      </c>
      <c r="D284" s="9" t="str">
        <f>IF($A284="","",1*'Material Costs'!$D$3)</f>
        <v/>
      </c>
      <c r="E284" s="9" t="str">
        <f>IF($A284="","",1*'Material Costs'!$D$2)</f>
        <v/>
      </c>
      <c r="F284" s="9" t="str">
        <f>IF($A284="","",IF($C284="Bubble Mailer",2,1)*'Material Costs'!$D$6)</f>
        <v/>
      </c>
      <c r="G284" s="9" t="str">
        <f>IF($A284="","",1*'Material Costs'!$D$7)</f>
        <v/>
      </c>
      <c r="H284" s="9" t="str">
        <f>IF($A284="","",IF($C284="Bubble Mailer",1,0)*'Material Costs'!$D$5)</f>
        <v/>
      </c>
      <c r="I284" s="9" t="str">
        <f>IF($A284="","",IF($C284="ESE (Ding Defend)",1,0)*'Material Costs'!$D$4)</f>
        <v/>
      </c>
      <c r="J284" s="9"/>
      <c r="K284" s="9" t="str">
        <f t="shared" si="36"/>
        <v/>
      </c>
      <c r="L284" s="9"/>
      <c r="M284" s="9"/>
      <c r="N284" s="9"/>
      <c r="O284" s="9" t="str">
        <f t="shared" si="37"/>
        <v/>
      </c>
      <c r="P284" s="9"/>
      <c r="Q284" s="9" t="str">
        <f>IF($A284="","",IF($O284="", "", ROUND($O284*Settings!$B$2+Settings!$B$3,2)))</f>
        <v/>
      </c>
      <c r="R284" s="9" t="str">
        <f>IF($A284="","",IF($L284="", "", Settings!$B$4))</f>
        <v/>
      </c>
      <c r="S284" s="9" t="str">
        <f t="shared" si="38"/>
        <v/>
      </c>
      <c r="T284" s="9" t="str">
        <f t="shared" si="39"/>
        <v/>
      </c>
      <c r="U284" s="9" t="str">
        <f>IF($A284="","",IF($K284="", "", ROUND((($K284 + Settings!$B$3 + $R284) - IF($M284="",0,$M284))/(1-Settings!$B$2),2)))</f>
        <v/>
      </c>
      <c r="V284" s="9" t="str">
        <f>IF($A284="","",$L284-($L284*Settings!$B$2)-$J284-($B284+SUM($D284:$I284)))</f>
        <v/>
      </c>
      <c r="W284" s="9" t="str">
        <f>IF($A284="","",(($B284+SUM($D284:$I284)+$J284+Settings!$B$3)/(1-Settings!$B$2))-$M284)</f>
        <v/>
      </c>
      <c r="X284" s="10" t="str">
        <f t="shared" si="40"/>
        <v/>
      </c>
      <c r="Y284" s="10" t="str">
        <f t="shared" si="41"/>
        <v/>
      </c>
      <c r="Z284" s="10" t="str">
        <f t="shared" si="42"/>
        <v/>
      </c>
      <c r="AA284" s="10" t="str">
        <f t="shared" si="43"/>
        <v/>
      </c>
      <c r="AC284" s="11"/>
      <c r="AD284" s="11"/>
      <c r="AE284" s="12" t="str">
        <f t="shared" si="44"/>
        <v/>
      </c>
    </row>
    <row r="285" spans="2:31" x14ac:dyDescent="0.25">
      <c r="B285" s="9"/>
      <c r="C285" t="s">
        <v>31</v>
      </c>
      <c r="D285" s="9" t="str">
        <f>IF($A285="","",1*'Material Costs'!$D$3)</f>
        <v/>
      </c>
      <c r="E285" s="9" t="str">
        <f>IF($A285="","",1*'Material Costs'!$D$2)</f>
        <v/>
      </c>
      <c r="F285" s="9" t="str">
        <f>IF($A285="","",IF($C285="Bubble Mailer",2,1)*'Material Costs'!$D$6)</f>
        <v/>
      </c>
      <c r="G285" s="9" t="str">
        <f>IF($A285="","",1*'Material Costs'!$D$7)</f>
        <v/>
      </c>
      <c r="H285" s="9" t="str">
        <f>IF($A285="","",IF($C285="Bubble Mailer",1,0)*'Material Costs'!$D$5)</f>
        <v/>
      </c>
      <c r="I285" s="9" t="str">
        <f>IF($A285="","",IF($C285="ESE (Ding Defend)",1,0)*'Material Costs'!$D$4)</f>
        <v/>
      </c>
      <c r="J285" s="9"/>
      <c r="K285" s="9" t="str">
        <f t="shared" si="36"/>
        <v/>
      </c>
      <c r="L285" s="9"/>
      <c r="M285" s="9"/>
      <c r="N285" s="9"/>
      <c r="O285" s="9" t="str">
        <f t="shared" si="37"/>
        <v/>
      </c>
      <c r="P285" s="9"/>
      <c r="Q285" s="9" t="str">
        <f>IF($A285="","",IF($O285="", "", ROUND($O285*Settings!$B$2+Settings!$B$3,2)))</f>
        <v/>
      </c>
      <c r="R285" s="9" t="str">
        <f>IF($A285="","",IF($L285="", "", Settings!$B$4))</f>
        <v/>
      </c>
      <c r="S285" s="9" t="str">
        <f t="shared" si="38"/>
        <v/>
      </c>
      <c r="T285" s="9" t="str">
        <f t="shared" si="39"/>
        <v/>
      </c>
      <c r="U285" s="9" t="str">
        <f>IF($A285="","",IF($K285="", "", ROUND((($K285 + Settings!$B$3 + $R285) - IF($M285="",0,$M285))/(1-Settings!$B$2),2)))</f>
        <v/>
      </c>
      <c r="V285" s="9" t="str">
        <f>IF($A285="","",$L285-($L285*Settings!$B$2)-$J285-($B285+SUM($D285:$I285)))</f>
        <v/>
      </c>
      <c r="W285" s="9" t="str">
        <f>IF($A285="","",(($B285+SUM($D285:$I285)+$J285+Settings!$B$3)/(1-Settings!$B$2))-$M285)</f>
        <v/>
      </c>
      <c r="X285" s="10" t="str">
        <f t="shared" si="40"/>
        <v/>
      </c>
      <c r="Y285" s="10" t="str">
        <f t="shared" si="41"/>
        <v/>
      </c>
      <c r="Z285" s="10" t="str">
        <f t="shared" si="42"/>
        <v/>
      </c>
      <c r="AA285" s="10" t="str">
        <f t="shared" si="43"/>
        <v/>
      </c>
      <c r="AC285" s="11"/>
      <c r="AD285" s="11"/>
      <c r="AE285" s="12" t="str">
        <f t="shared" si="44"/>
        <v/>
      </c>
    </row>
    <row r="286" spans="2:31" x14ac:dyDescent="0.25">
      <c r="B286" s="9"/>
      <c r="C286" t="s">
        <v>31</v>
      </c>
      <c r="D286" s="9" t="str">
        <f>IF($A286="","",1*'Material Costs'!$D$3)</f>
        <v/>
      </c>
      <c r="E286" s="9" t="str">
        <f>IF($A286="","",1*'Material Costs'!$D$2)</f>
        <v/>
      </c>
      <c r="F286" s="9" t="str">
        <f>IF($A286="","",IF($C286="Bubble Mailer",2,1)*'Material Costs'!$D$6)</f>
        <v/>
      </c>
      <c r="G286" s="9" t="str">
        <f>IF($A286="","",1*'Material Costs'!$D$7)</f>
        <v/>
      </c>
      <c r="H286" s="9" t="str">
        <f>IF($A286="","",IF($C286="Bubble Mailer",1,0)*'Material Costs'!$D$5)</f>
        <v/>
      </c>
      <c r="I286" s="9" t="str">
        <f>IF($A286="","",IF($C286="ESE (Ding Defend)",1,0)*'Material Costs'!$D$4)</f>
        <v/>
      </c>
      <c r="J286" s="9"/>
      <c r="K286" s="9" t="str">
        <f t="shared" si="36"/>
        <v/>
      </c>
      <c r="L286" s="9"/>
      <c r="M286" s="9"/>
      <c r="N286" s="9"/>
      <c r="O286" s="9" t="str">
        <f t="shared" si="37"/>
        <v/>
      </c>
      <c r="P286" s="9"/>
      <c r="Q286" s="9" t="str">
        <f>IF($A286="","",IF($O286="", "", ROUND($O286*Settings!$B$2+Settings!$B$3,2)))</f>
        <v/>
      </c>
      <c r="R286" s="9" t="str">
        <f>IF($A286="","",IF($L286="", "", Settings!$B$4))</f>
        <v/>
      </c>
      <c r="S286" s="9" t="str">
        <f t="shared" si="38"/>
        <v/>
      </c>
      <c r="T286" s="9" t="str">
        <f t="shared" si="39"/>
        <v/>
      </c>
      <c r="U286" s="9" t="str">
        <f>IF($A286="","",IF($K286="", "", ROUND((($K286 + Settings!$B$3 + $R286) - IF($M286="",0,$M286))/(1-Settings!$B$2),2)))</f>
        <v/>
      </c>
      <c r="V286" s="9" t="str">
        <f>IF($A286="","",$L286-($L286*Settings!$B$2)-$J286-($B286+SUM($D286:$I286)))</f>
        <v/>
      </c>
      <c r="W286" s="9" t="str">
        <f>IF($A286="","",(($B286+SUM($D286:$I286)+$J286+Settings!$B$3)/(1-Settings!$B$2))-$M286)</f>
        <v/>
      </c>
      <c r="X286" s="10" t="str">
        <f t="shared" si="40"/>
        <v/>
      </c>
      <c r="Y286" s="10" t="str">
        <f t="shared" si="41"/>
        <v/>
      </c>
      <c r="Z286" s="10" t="str">
        <f t="shared" si="42"/>
        <v/>
      </c>
      <c r="AA286" s="10" t="str">
        <f t="shared" si="43"/>
        <v/>
      </c>
      <c r="AC286" s="11"/>
      <c r="AD286" s="11"/>
      <c r="AE286" s="12" t="str">
        <f t="shared" si="44"/>
        <v/>
      </c>
    </row>
    <row r="287" spans="2:31" x14ac:dyDescent="0.25">
      <c r="B287" s="9"/>
      <c r="C287" t="s">
        <v>31</v>
      </c>
      <c r="D287" s="9" t="str">
        <f>IF($A287="","",1*'Material Costs'!$D$3)</f>
        <v/>
      </c>
      <c r="E287" s="9" t="str">
        <f>IF($A287="","",1*'Material Costs'!$D$2)</f>
        <v/>
      </c>
      <c r="F287" s="9" t="str">
        <f>IF($A287="","",IF($C287="Bubble Mailer",2,1)*'Material Costs'!$D$6)</f>
        <v/>
      </c>
      <c r="G287" s="9" t="str">
        <f>IF($A287="","",1*'Material Costs'!$D$7)</f>
        <v/>
      </c>
      <c r="H287" s="9" t="str">
        <f>IF($A287="","",IF($C287="Bubble Mailer",1,0)*'Material Costs'!$D$5)</f>
        <v/>
      </c>
      <c r="I287" s="9" t="str">
        <f>IF($A287="","",IF($C287="ESE (Ding Defend)",1,0)*'Material Costs'!$D$4)</f>
        <v/>
      </c>
      <c r="J287" s="9"/>
      <c r="K287" s="9" t="str">
        <f t="shared" si="36"/>
        <v/>
      </c>
      <c r="L287" s="9"/>
      <c r="M287" s="9"/>
      <c r="N287" s="9"/>
      <c r="O287" s="9" t="str">
        <f t="shared" si="37"/>
        <v/>
      </c>
      <c r="P287" s="9"/>
      <c r="Q287" s="9" t="str">
        <f>IF($A287="","",IF($O287="", "", ROUND($O287*Settings!$B$2+Settings!$B$3,2)))</f>
        <v/>
      </c>
      <c r="R287" s="9" t="str">
        <f>IF($A287="","",IF($L287="", "", Settings!$B$4))</f>
        <v/>
      </c>
      <c r="S287" s="9" t="str">
        <f t="shared" si="38"/>
        <v/>
      </c>
      <c r="T287" s="9" t="str">
        <f t="shared" si="39"/>
        <v/>
      </c>
      <c r="U287" s="9" t="str">
        <f>IF($A287="","",IF($K287="", "", ROUND((($K287 + Settings!$B$3 + $R287) - IF($M287="",0,$M287))/(1-Settings!$B$2),2)))</f>
        <v/>
      </c>
      <c r="V287" s="9" t="str">
        <f>IF($A287="","",$L287-($L287*Settings!$B$2)-$J287-($B287+SUM($D287:$I287)))</f>
        <v/>
      </c>
      <c r="W287" s="9" t="str">
        <f>IF($A287="","",(($B287+SUM($D287:$I287)+$J287+Settings!$B$3)/(1-Settings!$B$2))-$M287)</f>
        <v/>
      </c>
      <c r="X287" s="10" t="str">
        <f t="shared" si="40"/>
        <v/>
      </c>
      <c r="Y287" s="10" t="str">
        <f t="shared" si="41"/>
        <v/>
      </c>
      <c r="Z287" s="10" t="str">
        <f t="shared" si="42"/>
        <v/>
      </c>
      <c r="AA287" s="10" t="str">
        <f t="shared" si="43"/>
        <v/>
      </c>
      <c r="AC287" s="11"/>
      <c r="AD287" s="11"/>
      <c r="AE287" s="12" t="str">
        <f t="shared" si="44"/>
        <v/>
      </c>
    </row>
    <row r="288" spans="2:31" x14ac:dyDescent="0.25">
      <c r="B288" s="9"/>
      <c r="C288" t="s">
        <v>31</v>
      </c>
      <c r="D288" s="9" t="str">
        <f>IF($A288="","",1*'Material Costs'!$D$3)</f>
        <v/>
      </c>
      <c r="E288" s="9" t="str">
        <f>IF($A288="","",1*'Material Costs'!$D$2)</f>
        <v/>
      </c>
      <c r="F288" s="9" t="str">
        <f>IF($A288="","",IF($C288="Bubble Mailer",2,1)*'Material Costs'!$D$6)</f>
        <v/>
      </c>
      <c r="G288" s="9" t="str">
        <f>IF($A288="","",1*'Material Costs'!$D$7)</f>
        <v/>
      </c>
      <c r="H288" s="9" t="str">
        <f>IF($A288="","",IF($C288="Bubble Mailer",1,0)*'Material Costs'!$D$5)</f>
        <v/>
      </c>
      <c r="I288" s="9" t="str">
        <f>IF($A288="","",IF($C288="ESE (Ding Defend)",1,0)*'Material Costs'!$D$4)</f>
        <v/>
      </c>
      <c r="J288" s="9"/>
      <c r="K288" s="9" t="str">
        <f t="shared" si="36"/>
        <v/>
      </c>
      <c r="L288" s="9"/>
      <c r="M288" s="9"/>
      <c r="N288" s="9"/>
      <c r="O288" s="9" t="str">
        <f t="shared" si="37"/>
        <v/>
      </c>
      <c r="P288" s="9"/>
      <c r="Q288" s="9" t="str">
        <f>IF($A288="","",IF($O288="", "", ROUND($O288*Settings!$B$2+Settings!$B$3,2)))</f>
        <v/>
      </c>
      <c r="R288" s="9" t="str">
        <f>IF($A288="","",IF($L288="", "", Settings!$B$4))</f>
        <v/>
      </c>
      <c r="S288" s="9" t="str">
        <f t="shared" si="38"/>
        <v/>
      </c>
      <c r="T288" s="9" t="str">
        <f t="shared" si="39"/>
        <v/>
      </c>
      <c r="U288" s="9" t="str">
        <f>IF($A288="","",IF($K288="", "", ROUND((($K288 + Settings!$B$3 + $R288) - IF($M288="",0,$M288))/(1-Settings!$B$2),2)))</f>
        <v/>
      </c>
      <c r="V288" s="9" t="str">
        <f>IF($A288="","",$L288-($L288*Settings!$B$2)-$J288-($B288+SUM($D288:$I288)))</f>
        <v/>
      </c>
      <c r="W288" s="9" t="str">
        <f>IF($A288="","",(($B288+SUM($D288:$I288)+$J288+Settings!$B$3)/(1-Settings!$B$2))-$M288)</f>
        <v/>
      </c>
      <c r="X288" s="10" t="str">
        <f t="shared" si="40"/>
        <v/>
      </c>
      <c r="Y288" s="10" t="str">
        <f t="shared" si="41"/>
        <v/>
      </c>
      <c r="Z288" s="10" t="str">
        <f t="shared" si="42"/>
        <v/>
      </c>
      <c r="AA288" s="10" t="str">
        <f t="shared" si="43"/>
        <v/>
      </c>
      <c r="AC288" s="11"/>
      <c r="AD288" s="11"/>
      <c r="AE288" s="12" t="str">
        <f t="shared" si="44"/>
        <v/>
      </c>
    </row>
    <row r="289" spans="2:31" x14ac:dyDescent="0.25">
      <c r="B289" s="9"/>
      <c r="C289" t="s">
        <v>31</v>
      </c>
      <c r="D289" s="9" t="str">
        <f>IF($A289="","",1*'Material Costs'!$D$3)</f>
        <v/>
      </c>
      <c r="E289" s="9" t="str">
        <f>IF($A289="","",1*'Material Costs'!$D$2)</f>
        <v/>
      </c>
      <c r="F289" s="9" t="str">
        <f>IF($A289="","",IF($C289="Bubble Mailer",2,1)*'Material Costs'!$D$6)</f>
        <v/>
      </c>
      <c r="G289" s="9" t="str">
        <f>IF($A289="","",1*'Material Costs'!$D$7)</f>
        <v/>
      </c>
      <c r="H289" s="9" t="str">
        <f>IF($A289="","",IF($C289="Bubble Mailer",1,0)*'Material Costs'!$D$5)</f>
        <v/>
      </c>
      <c r="I289" s="9" t="str">
        <f>IF($A289="","",IF($C289="ESE (Ding Defend)",1,0)*'Material Costs'!$D$4)</f>
        <v/>
      </c>
      <c r="J289" s="9"/>
      <c r="K289" s="9" t="str">
        <f t="shared" si="36"/>
        <v/>
      </c>
      <c r="L289" s="9"/>
      <c r="M289" s="9"/>
      <c r="N289" s="9"/>
      <c r="O289" s="9" t="str">
        <f t="shared" si="37"/>
        <v/>
      </c>
      <c r="P289" s="9"/>
      <c r="Q289" s="9" t="str">
        <f>IF($A289="","",IF($O289="", "", ROUND($O289*Settings!$B$2+Settings!$B$3,2)))</f>
        <v/>
      </c>
      <c r="R289" s="9" t="str">
        <f>IF($A289="","",IF($L289="", "", Settings!$B$4))</f>
        <v/>
      </c>
      <c r="S289" s="9" t="str">
        <f t="shared" si="38"/>
        <v/>
      </c>
      <c r="T289" s="9" t="str">
        <f t="shared" si="39"/>
        <v/>
      </c>
      <c r="U289" s="9" t="str">
        <f>IF($A289="","",IF($K289="", "", ROUND((($K289 + Settings!$B$3 + $R289) - IF($M289="",0,$M289))/(1-Settings!$B$2),2)))</f>
        <v/>
      </c>
      <c r="V289" s="9" t="str">
        <f>IF($A289="","",$L289-($L289*Settings!$B$2)-$J289-($B289+SUM($D289:$I289)))</f>
        <v/>
      </c>
      <c r="W289" s="9" t="str">
        <f>IF($A289="","",(($B289+SUM($D289:$I289)+$J289+Settings!$B$3)/(1-Settings!$B$2))-$M289)</f>
        <v/>
      </c>
      <c r="X289" s="10" t="str">
        <f t="shared" si="40"/>
        <v/>
      </c>
      <c r="Y289" s="10" t="str">
        <f t="shared" si="41"/>
        <v/>
      </c>
      <c r="Z289" s="10" t="str">
        <f t="shared" si="42"/>
        <v/>
      </c>
      <c r="AA289" s="10" t="str">
        <f t="shared" si="43"/>
        <v/>
      </c>
      <c r="AC289" s="11"/>
      <c r="AD289" s="11"/>
      <c r="AE289" s="12" t="str">
        <f t="shared" si="44"/>
        <v/>
      </c>
    </row>
    <row r="290" spans="2:31" x14ac:dyDescent="0.25">
      <c r="B290" s="9"/>
      <c r="C290" t="s">
        <v>31</v>
      </c>
      <c r="D290" s="9" t="str">
        <f>IF($A290="","",1*'Material Costs'!$D$3)</f>
        <v/>
      </c>
      <c r="E290" s="9" t="str">
        <f>IF($A290="","",1*'Material Costs'!$D$2)</f>
        <v/>
      </c>
      <c r="F290" s="9" t="str">
        <f>IF($A290="","",IF($C290="Bubble Mailer",2,1)*'Material Costs'!$D$6)</f>
        <v/>
      </c>
      <c r="G290" s="9" t="str">
        <f>IF($A290="","",1*'Material Costs'!$D$7)</f>
        <v/>
      </c>
      <c r="H290" s="9" t="str">
        <f>IF($A290="","",IF($C290="Bubble Mailer",1,0)*'Material Costs'!$D$5)</f>
        <v/>
      </c>
      <c r="I290" s="9" t="str">
        <f>IF($A290="","",IF($C290="ESE (Ding Defend)",1,0)*'Material Costs'!$D$4)</f>
        <v/>
      </c>
      <c r="J290" s="9"/>
      <c r="K290" s="9" t="str">
        <f t="shared" si="36"/>
        <v/>
      </c>
      <c r="L290" s="9"/>
      <c r="M290" s="9"/>
      <c r="N290" s="9"/>
      <c r="O290" s="9" t="str">
        <f t="shared" si="37"/>
        <v/>
      </c>
      <c r="P290" s="9"/>
      <c r="Q290" s="9" t="str">
        <f>IF($A290="","",IF($O290="", "", ROUND($O290*Settings!$B$2+Settings!$B$3,2)))</f>
        <v/>
      </c>
      <c r="R290" s="9" t="str">
        <f>IF($A290="","",IF($L290="", "", Settings!$B$4))</f>
        <v/>
      </c>
      <c r="S290" s="9" t="str">
        <f t="shared" si="38"/>
        <v/>
      </c>
      <c r="T290" s="9" t="str">
        <f t="shared" si="39"/>
        <v/>
      </c>
      <c r="U290" s="9" t="str">
        <f>IF($A290="","",IF($K290="", "", ROUND((($K290 + Settings!$B$3 + $R290) - IF($M290="",0,$M290))/(1-Settings!$B$2),2)))</f>
        <v/>
      </c>
      <c r="V290" s="9" t="str">
        <f>IF($A290="","",$L290-($L290*Settings!$B$2)-$J290-($B290+SUM($D290:$I290)))</f>
        <v/>
      </c>
      <c r="W290" s="9" t="str">
        <f>IF($A290="","",(($B290+SUM($D290:$I290)+$J290+Settings!$B$3)/(1-Settings!$B$2))-$M290)</f>
        <v/>
      </c>
      <c r="X290" s="10" t="str">
        <f t="shared" si="40"/>
        <v/>
      </c>
      <c r="Y290" s="10" t="str">
        <f t="shared" si="41"/>
        <v/>
      </c>
      <c r="Z290" s="10" t="str">
        <f t="shared" si="42"/>
        <v/>
      </c>
      <c r="AA290" s="10" t="str">
        <f t="shared" si="43"/>
        <v/>
      </c>
      <c r="AC290" s="11"/>
      <c r="AD290" s="11"/>
      <c r="AE290" s="12" t="str">
        <f t="shared" si="44"/>
        <v/>
      </c>
    </row>
    <row r="291" spans="2:31" x14ac:dyDescent="0.25">
      <c r="B291" s="9"/>
      <c r="C291" t="s">
        <v>31</v>
      </c>
      <c r="D291" s="9" t="str">
        <f>IF($A291="","",1*'Material Costs'!$D$3)</f>
        <v/>
      </c>
      <c r="E291" s="9" t="str">
        <f>IF($A291="","",1*'Material Costs'!$D$2)</f>
        <v/>
      </c>
      <c r="F291" s="9" t="str">
        <f>IF($A291="","",IF($C291="Bubble Mailer",2,1)*'Material Costs'!$D$6)</f>
        <v/>
      </c>
      <c r="G291" s="9" t="str">
        <f>IF($A291="","",1*'Material Costs'!$D$7)</f>
        <v/>
      </c>
      <c r="H291" s="9" t="str">
        <f>IF($A291="","",IF($C291="Bubble Mailer",1,0)*'Material Costs'!$D$5)</f>
        <v/>
      </c>
      <c r="I291" s="9" t="str">
        <f>IF($A291="","",IF($C291="ESE (Ding Defend)",1,0)*'Material Costs'!$D$4)</f>
        <v/>
      </c>
      <c r="J291" s="9"/>
      <c r="K291" s="9" t="str">
        <f t="shared" si="36"/>
        <v/>
      </c>
      <c r="L291" s="9"/>
      <c r="M291" s="9"/>
      <c r="N291" s="9"/>
      <c r="O291" s="9" t="str">
        <f t="shared" si="37"/>
        <v/>
      </c>
      <c r="P291" s="9"/>
      <c r="Q291" s="9" t="str">
        <f>IF($A291="","",IF($O291="", "", ROUND($O291*Settings!$B$2+Settings!$B$3,2)))</f>
        <v/>
      </c>
      <c r="R291" s="9" t="str">
        <f>IF($A291="","",IF($L291="", "", Settings!$B$4))</f>
        <v/>
      </c>
      <c r="S291" s="9" t="str">
        <f t="shared" si="38"/>
        <v/>
      </c>
      <c r="T291" s="9" t="str">
        <f t="shared" si="39"/>
        <v/>
      </c>
      <c r="U291" s="9" t="str">
        <f>IF($A291="","",IF($K291="", "", ROUND((($K291 + Settings!$B$3 + $R291) - IF($M291="",0,$M291))/(1-Settings!$B$2),2)))</f>
        <v/>
      </c>
      <c r="V291" s="9" t="str">
        <f>IF($A291="","",$L291-($L291*Settings!$B$2)-$J291-($B291+SUM($D291:$I291)))</f>
        <v/>
      </c>
      <c r="W291" s="9" t="str">
        <f>IF($A291="","",(($B291+SUM($D291:$I291)+$J291+Settings!$B$3)/(1-Settings!$B$2))-$M291)</f>
        <v/>
      </c>
      <c r="X291" s="10" t="str">
        <f t="shared" si="40"/>
        <v/>
      </c>
      <c r="Y291" s="10" t="str">
        <f t="shared" si="41"/>
        <v/>
      </c>
      <c r="Z291" s="10" t="str">
        <f t="shared" si="42"/>
        <v/>
      </c>
      <c r="AA291" s="10" t="str">
        <f t="shared" si="43"/>
        <v/>
      </c>
      <c r="AC291" s="11"/>
      <c r="AD291" s="11"/>
      <c r="AE291" s="12" t="str">
        <f t="shared" si="44"/>
        <v/>
      </c>
    </row>
    <row r="292" spans="2:31" x14ac:dyDescent="0.25">
      <c r="B292" s="9"/>
      <c r="C292" t="s">
        <v>31</v>
      </c>
      <c r="D292" s="9" t="str">
        <f>IF($A292="","",1*'Material Costs'!$D$3)</f>
        <v/>
      </c>
      <c r="E292" s="9" t="str">
        <f>IF($A292="","",1*'Material Costs'!$D$2)</f>
        <v/>
      </c>
      <c r="F292" s="9" t="str">
        <f>IF($A292="","",IF($C292="Bubble Mailer",2,1)*'Material Costs'!$D$6)</f>
        <v/>
      </c>
      <c r="G292" s="9" t="str">
        <f>IF($A292="","",1*'Material Costs'!$D$7)</f>
        <v/>
      </c>
      <c r="H292" s="9" t="str">
        <f>IF($A292="","",IF($C292="Bubble Mailer",1,0)*'Material Costs'!$D$5)</f>
        <v/>
      </c>
      <c r="I292" s="9" t="str">
        <f>IF($A292="","",IF($C292="ESE (Ding Defend)",1,0)*'Material Costs'!$D$4)</f>
        <v/>
      </c>
      <c r="J292" s="9"/>
      <c r="K292" s="9" t="str">
        <f t="shared" si="36"/>
        <v/>
      </c>
      <c r="L292" s="9"/>
      <c r="M292" s="9"/>
      <c r="N292" s="9"/>
      <c r="O292" s="9" t="str">
        <f t="shared" si="37"/>
        <v/>
      </c>
      <c r="P292" s="9"/>
      <c r="Q292" s="9" t="str">
        <f>IF($A292="","",IF($O292="", "", ROUND($O292*Settings!$B$2+Settings!$B$3,2)))</f>
        <v/>
      </c>
      <c r="R292" s="9" t="str">
        <f>IF($A292="","",IF($L292="", "", Settings!$B$4))</f>
        <v/>
      </c>
      <c r="S292" s="9" t="str">
        <f t="shared" si="38"/>
        <v/>
      </c>
      <c r="T292" s="9" t="str">
        <f t="shared" si="39"/>
        <v/>
      </c>
      <c r="U292" s="9" t="str">
        <f>IF($A292="","",IF($K292="", "", ROUND((($K292 + Settings!$B$3 + $R292) - IF($M292="",0,$M292))/(1-Settings!$B$2),2)))</f>
        <v/>
      </c>
      <c r="V292" s="9" t="str">
        <f>IF($A292="","",$L292-($L292*Settings!$B$2)-$J292-($B292+SUM($D292:$I292)))</f>
        <v/>
      </c>
      <c r="W292" s="9" t="str">
        <f>IF($A292="","",(($B292+SUM($D292:$I292)+$J292+Settings!$B$3)/(1-Settings!$B$2))-$M292)</f>
        <v/>
      </c>
      <c r="X292" s="10" t="str">
        <f t="shared" si="40"/>
        <v/>
      </c>
      <c r="Y292" s="10" t="str">
        <f t="shared" si="41"/>
        <v/>
      </c>
      <c r="Z292" s="10" t="str">
        <f t="shared" si="42"/>
        <v/>
      </c>
      <c r="AA292" s="10" t="str">
        <f t="shared" si="43"/>
        <v/>
      </c>
      <c r="AC292" s="11"/>
      <c r="AD292" s="11"/>
      <c r="AE292" s="12" t="str">
        <f t="shared" si="44"/>
        <v/>
      </c>
    </row>
    <row r="293" spans="2:31" x14ac:dyDescent="0.25">
      <c r="B293" s="9"/>
      <c r="C293" t="s">
        <v>31</v>
      </c>
      <c r="D293" s="9" t="str">
        <f>IF($A293="","",1*'Material Costs'!$D$3)</f>
        <v/>
      </c>
      <c r="E293" s="9" t="str">
        <f>IF($A293="","",1*'Material Costs'!$D$2)</f>
        <v/>
      </c>
      <c r="F293" s="9" t="str">
        <f>IF($A293="","",IF($C293="Bubble Mailer",2,1)*'Material Costs'!$D$6)</f>
        <v/>
      </c>
      <c r="G293" s="9" t="str">
        <f>IF($A293="","",1*'Material Costs'!$D$7)</f>
        <v/>
      </c>
      <c r="H293" s="9" t="str">
        <f>IF($A293="","",IF($C293="Bubble Mailer",1,0)*'Material Costs'!$D$5)</f>
        <v/>
      </c>
      <c r="I293" s="9" t="str">
        <f>IF($A293="","",IF($C293="ESE (Ding Defend)",1,0)*'Material Costs'!$D$4)</f>
        <v/>
      </c>
      <c r="J293" s="9"/>
      <c r="K293" s="9" t="str">
        <f t="shared" si="36"/>
        <v/>
      </c>
      <c r="L293" s="9"/>
      <c r="M293" s="9"/>
      <c r="N293" s="9"/>
      <c r="O293" s="9" t="str">
        <f t="shared" si="37"/>
        <v/>
      </c>
      <c r="P293" s="9"/>
      <c r="Q293" s="9" t="str">
        <f>IF($A293="","",IF($O293="", "", ROUND($O293*Settings!$B$2+Settings!$B$3,2)))</f>
        <v/>
      </c>
      <c r="R293" s="9" t="str">
        <f>IF($A293="","",IF($L293="", "", Settings!$B$4))</f>
        <v/>
      </c>
      <c r="S293" s="9" t="str">
        <f t="shared" si="38"/>
        <v/>
      </c>
      <c r="T293" s="9" t="str">
        <f t="shared" si="39"/>
        <v/>
      </c>
      <c r="U293" s="9" t="str">
        <f>IF($A293="","",IF($K293="", "", ROUND((($K293 + Settings!$B$3 + $R293) - IF($M293="",0,$M293))/(1-Settings!$B$2),2)))</f>
        <v/>
      </c>
      <c r="V293" s="9" t="str">
        <f>IF($A293="","",$L293-($L293*Settings!$B$2)-$J293-($B293+SUM($D293:$I293)))</f>
        <v/>
      </c>
      <c r="W293" s="9" t="str">
        <f>IF($A293="","",(($B293+SUM($D293:$I293)+$J293+Settings!$B$3)/(1-Settings!$B$2))-$M293)</f>
        <v/>
      </c>
      <c r="X293" s="10" t="str">
        <f t="shared" si="40"/>
        <v/>
      </c>
      <c r="Y293" s="10" t="str">
        <f t="shared" si="41"/>
        <v/>
      </c>
      <c r="Z293" s="10" t="str">
        <f t="shared" si="42"/>
        <v/>
      </c>
      <c r="AA293" s="10" t="str">
        <f t="shared" si="43"/>
        <v/>
      </c>
      <c r="AC293" s="11"/>
      <c r="AD293" s="11"/>
      <c r="AE293" s="12" t="str">
        <f t="shared" si="44"/>
        <v/>
      </c>
    </row>
    <row r="294" spans="2:31" x14ac:dyDescent="0.25">
      <c r="B294" s="9"/>
      <c r="C294" t="s">
        <v>31</v>
      </c>
      <c r="D294" s="9" t="str">
        <f>IF($A294="","",1*'Material Costs'!$D$3)</f>
        <v/>
      </c>
      <c r="E294" s="9" t="str">
        <f>IF($A294="","",1*'Material Costs'!$D$2)</f>
        <v/>
      </c>
      <c r="F294" s="9" t="str">
        <f>IF($A294="","",IF($C294="Bubble Mailer",2,1)*'Material Costs'!$D$6)</f>
        <v/>
      </c>
      <c r="G294" s="9" t="str">
        <f>IF($A294="","",1*'Material Costs'!$D$7)</f>
        <v/>
      </c>
      <c r="H294" s="9" t="str">
        <f>IF($A294="","",IF($C294="Bubble Mailer",1,0)*'Material Costs'!$D$5)</f>
        <v/>
      </c>
      <c r="I294" s="9" t="str">
        <f>IF($A294="","",IF($C294="ESE (Ding Defend)",1,0)*'Material Costs'!$D$4)</f>
        <v/>
      </c>
      <c r="J294" s="9"/>
      <c r="K294" s="9" t="str">
        <f t="shared" si="36"/>
        <v/>
      </c>
      <c r="L294" s="9"/>
      <c r="M294" s="9"/>
      <c r="N294" s="9"/>
      <c r="O294" s="9" t="str">
        <f t="shared" si="37"/>
        <v/>
      </c>
      <c r="P294" s="9"/>
      <c r="Q294" s="9" t="str">
        <f>IF($A294="","",IF($O294="", "", ROUND($O294*Settings!$B$2+Settings!$B$3,2)))</f>
        <v/>
      </c>
      <c r="R294" s="9" t="str">
        <f>IF($A294="","",IF($L294="", "", Settings!$B$4))</f>
        <v/>
      </c>
      <c r="S294" s="9" t="str">
        <f t="shared" si="38"/>
        <v/>
      </c>
      <c r="T294" s="9" t="str">
        <f t="shared" si="39"/>
        <v/>
      </c>
      <c r="U294" s="9" t="str">
        <f>IF($A294="","",IF($K294="", "", ROUND((($K294 + Settings!$B$3 + $R294) - IF($M294="",0,$M294))/(1-Settings!$B$2),2)))</f>
        <v/>
      </c>
      <c r="V294" s="9" t="str">
        <f>IF($A294="","",$L294-($L294*Settings!$B$2)-$J294-($B294+SUM($D294:$I294)))</f>
        <v/>
      </c>
      <c r="W294" s="9" t="str">
        <f>IF($A294="","",(($B294+SUM($D294:$I294)+$J294+Settings!$B$3)/(1-Settings!$B$2))-$M294)</f>
        <v/>
      </c>
      <c r="X294" s="10" t="str">
        <f t="shared" si="40"/>
        <v/>
      </c>
      <c r="Y294" s="10" t="str">
        <f t="shared" si="41"/>
        <v/>
      </c>
      <c r="Z294" s="10" t="str">
        <f t="shared" si="42"/>
        <v/>
      </c>
      <c r="AA294" s="10" t="str">
        <f t="shared" si="43"/>
        <v/>
      </c>
      <c r="AC294" s="11"/>
      <c r="AD294" s="11"/>
      <c r="AE294" s="12" t="str">
        <f t="shared" si="44"/>
        <v/>
      </c>
    </row>
    <row r="295" spans="2:31" x14ac:dyDescent="0.25">
      <c r="B295" s="9"/>
      <c r="C295" t="s">
        <v>31</v>
      </c>
      <c r="D295" s="9" t="str">
        <f>IF($A295="","",1*'Material Costs'!$D$3)</f>
        <v/>
      </c>
      <c r="E295" s="9" t="str">
        <f>IF($A295="","",1*'Material Costs'!$D$2)</f>
        <v/>
      </c>
      <c r="F295" s="9" t="str">
        <f>IF($A295="","",IF($C295="Bubble Mailer",2,1)*'Material Costs'!$D$6)</f>
        <v/>
      </c>
      <c r="G295" s="9" t="str">
        <f>IF($A295="","",1*'Material Costs'!$D$7)</f>
        <v/>
      </c>
      <c r="H295" s="9" t="str">
        <f>IF($A295="","",IF($C295="Bubble Mailer",1,0)*'Material Costs'!$D$5)</f>
        <v/>
      </c>
      <c r="I295" s="9" t="str">
        <f>IF($A295="","",IF($C295="ESE (Ding Defend)",1,0)*'Material Costs'!$D$4)</f>
        <v/>
      </c>
      <c r="J295" s="9"/>
      <c r="K295" s="9" t="str">
        <f t="shared" si="36"/>
        <v/>
      </c>
      <c r="L295" s="9"/>
      <c r="M295" s="9"/>
      <c r="N295" s="9"/>
      <c r="O295" s="9" t="str">
        <f t="shared" si="37"/>
        <v/>
      </c>
      <c r="P295" s="9"/>
      <c r="Q295" s="9" t="str">
        <f>IF($A295="","",IF($O295="", "", ROUND($O295*Settings!$B$2+Settings!$B$3,2)))</f>
        <v/>
      </c>
      <c r="R295" s="9" t="str">
        <f>IF($A295="","",IF($L295="", "", Settings!$B$4))</f>
        <v/>
      </c>
      <c r="S295" s="9" t="str">
        <f t="shared" si="38"/>
        <v/>
      </c>
      <c r="T295" s="9" t="str">
        <f t="shared" si="39"/>
        <v/>
      </c>
      <c r="U295" s="9" t="str">
        <f>IF($A295="","",IF($K295="", "", ROUND((($K295 + Settings!$B$3 + $R295) - IF($M295="",0,$M295))/(1-Settings!$B$2),2)))</f>
        <v/>
      </c>
      <c r="V295" s="9" t="str">
        <f>IF($A295="","",$L295-($L295*Settings!$B$2)-$J295-($B295+SUM($D295:$I295)))</f>
        <v/>
      </c>
      <c r="W295" s="9" t="str">
        <f>IF($A295="","",(($B295+SUM($D295:$I295)+$J295+Settings!$B$3)/(1-Settings!$B$2))-$M295)</f>
        <v/>
      </c>
      <c r="X295" s="10" t="str">
        <f t="shared" si="40"/>
        <v/>
      </c>
      <c r="Y295" s="10" t="str">
        <f t="shared" si="41"/>
        <v/>
      </c>
      <c r="Z295" s="10" t="str">
        <f t="shared" si="42"/>
        <v/>
      </c>
      <c r="AA295" s="10" t="str">
        <f t="shared" si="43"/>
        <v/>
      </c>
      <c r="AC295" s="11"/>
      <c r="AD295" s="11"/>
      <c r="AE295" s="12" t="str">
        <f t="shared" si="44"/>
        <v/>
      </c>
    </row>
    <row r="296" spans="2:31" x14ac:dyDescent="0.25">
      <c r="B296" s="9"/>
      <c r="C296" t="s">
        <v>31</v>
      </c>
      <c r="D296" s="9" t="str">
        <f>IF($A296="","",1*'Material Costs'!$D$3)</f>
        <v/>
      </c>
      <c r="E296" s="9" t="str">
        <f>IF($A296="","",1*'Material Costs'!$D$2)</f>
        <v/>
      </c>
      <c r="F296" s="9" t="str">
        <f>IF($A296="","",IF($C296="Bubble Mailer",2,1)*'Material Costs'!$D$6)</f>
        <v/>
      </c>
      <c r="G296" s="9" t="str">
        <f>IF($A296="","",1*'Material Costs'!$D$7)</f>
        <v/>
      </c>
      <c r="H296" s="9" t="str">
        <f>IF($A296="","",IF($C296="Bubble Mailer",1,0)*'Material Costs'!$D$5)</f>
        <v/>
      </c>
      <c r="I296" s="9" t="str">
        <f>IF($A296="","",IF($C296="ESE (Ding Defend)",1,0)*'Material Costs'!$D$4)</f>
        <v/>
      </c>
      <c r="J296" s="9"/>
      <c r="K296" s="9" t="str">
        <f t="shared" si="36"/>
        <v/>
      </c>
      <c r="L296" s="9"/>
      <c r="M296" s="9"/>
      <c r="N296" s="9"/>
      <c r="O296" s="9" t="str">
        <f t="shared" si="37"/>
        <v/>
      </c>
      <c r="P296" s="9"/>
      <c r="Q296" s="9" t="str">
        <f>IF($A296="","",IF($O296="", "", ROUND($O296*Settings!$B$2+Settings!$B$3,2)))</f>
        <v/>
      </c>
      <c r="R296" s="9" t="str">
        <f>IF($A296="","",IF($L296="", "", Settings!$B$4))</f>
        <v/>
      </c>
      <c r="S296" s="9" t="str">
        <f t="shared" si="38"/>
        <v/>
      </c>
      <c r="T296" s="9" t="str">
        <f t="shared" si="39"/>
        <v/>
      </c>
      <c r="U296" s="9" t="str">
        <f>IF($A296="","",IF($K296="", "", ROUND((($K296 + Settings!$B$3 + $R296) - IF($M296="",0,$M296))/(1-Settings!$B$2),2)))</f>
        <v/>
      </c>
      <c r="V296" s="9" t="str">
        <f>IF($A296="","",$L296-($L296*Settings!$B$2)-$J296-($B296+SUM($D296:$I296)))</f>
        <v/>
      </c>
      <c r="W296" s="9" t="str">
        <f>IF($A296="","",(($B296+SUM($D296:$I296)+$J296+Settings!$B$3)/(1-Settings!$B$2))-$M296)</f>
        <v/>
      </c>
      <c r="X296" s="10" t="str">
        <f t="shared" si="40"/>
        <v/>
      </c>
      <c r="Y296" s="10" t="str">
        <f t="shared" si="41"/>
        <v/>
      </c>
      <c r="Z296" s="10" t="str">
        <f t="shared" si="42"/>
        <v/>
      </c>
      <c r="AA296" s="10" t="str">
        <f t="shared" si="43"/>
        <v/>
      </c>
      <c r="AC296" s="11"/>
      <c r="AD296" s="11"/>
      <c r="AE296" s="12" t="str">
        <f t="shared" si="44"/>
        <v/>
      </c>
    </row>
    <row r="297" spans="2:31" x14ac:dyDescent="0.25">
      <c r="B297" s="9"/>
      <c r="C297" t="s">
        <v>31</v>
      </c>
      <c r="D297" s="9" t="str">
        <f>IF($A297="","",1*'Material Costs'!$D$3)</f>
        <v/>
      </c>
      <c r="E297" s="9" t="str">
        <f>IF($A297="","",1*'Material Costs'!$D$2)</f>
        <v/>
      </c>
      <c r="F297" s="9" t="str">
        <f>IF($A297="","",IF($C297="Bubble Mailer",2,1)*'Material Costs'!$D$6)</f>
        <v/>
      </c>
      <c r="G297" s="9" t="str">
        <f>IF($A297="","",1*'Material Costs'!$D$7)</f>
        <v/>
      </c>
      <c r="H297" s="9" t="str">
        <f>IF($A297="","",IF($C297="Bubble Mailer",1,0)*'Material Costs'!$D$5)</f>
        <v/>
      </c>
      <c r="I297" s="9" t="str">
        <f>IF($A297="","",IF($C297="ESE (Ding Defend)",1,0)*'Material Costs'!$D$4)</f>
        <v/>
      </c>
      <c r="J297" s="9"/>
      <c r="K297" s="9" t="str">
        <f t="shared" si="36"/>
        <v/>
      </c>
      <c r="L297" s="9"/>
      <c r="M297" s="9"/>
      <c r="N297" s="9"/>
      <c r="O297" s="9" t="str">
        <f t="shared" si="37"/>
        <v/>
      </c>
      <c r="P297" s="9"/>
      <c r="Q297" s="9" t="str">
        <f>IF($A297="","",IF($O297="", "", ROUND($O297*Settings!$B$2+Settings!$B$3,2)))</f>
        <v/>
      </c>
      <c r="R297" s="9" t="str">
        <f>IF($A297="","",IF($L297="", "", Settings!$B$4))</f>
        <v/>
      </c>
      <c r="S297" s="9" t="str">
        <f t="shared" si="38"/>
        <v/>
      </c>
      <c r="T297" s="9" t="str">
        <f t="shared" si="39"/>
        <v/>
      </c>
      <c r="U297" s="9" t="str">
        <f>IF($A297="","",IF($K297="", "", ROUND((($K297 + Settings!$B$3 + $R297) - IF($M297="",0,$M297))/(1-Settings!$B$2),2)))</f>
        <v/>
      </c>
      <c r="V297" s="9" t="str">
        <f>IF($A297="","",$L297-($L297*Settings!$B$2)-$J297-($B297+SUM($D297:$I297)))</f>
        <v/>
      </c>
      <c r="W297" s="9" t="str">
        <f>IF($A297="","",(($B297+SUM($D297:$I297)+$J297+Settings!$B$3)/(1-Settings!$B$2))-$M297)</f>
        <v/>
      </c>
      <c r="X297" s="10" t="str">
        <f t="shared" si="40"/>
        <v/>
      </c>
      <c r="Y297" s="10" t="str">
        <f t="shared" si="41"/>
        <v/>
      </c>
      <c r="Z297" s="10" t="str">
        <f t="shared" si="42"/>
        <v/>
      </c>
      <c r="AA297" s="10" t="str">
        <f t="shared" si="43"/>
        <v/>
      </c>
      <c r="AC297" s="11"/>
      <c r="AD297" s="11"/>
      <c r="AE297" s="12" t="str">
        <f t="shared" si="44"/>
        <v/>
      </c>
    </row>
    <row r="298" spans="2:31" x14ac:dyDescent="0.25">
      <c r="B298" s="9"/>
      <c r="C298" t="s">
        <v>31</v>
      </c>
      <c r="D298" s="9" t="str">
        <f>IF($A298="","",1*'Material Costs'!$D$3)</f>
        <v/>
      </c>
      <c r="E298" s="9" t="str">
        <f>IF($A298="","",1*'Material Costs'!$D$2)</f>
        <v/>
      </c>
      <c r="F298" s="9" t="str">
        <f>IF($A298="","",IF($C298="Bubble Mailer",2,1)*'Material Costs'!$D$6)</f>
        <v/>
      </c>
      <c r="G298" s="9" t="str">
        <f>IF($A298="","",1*'Material Costs'!$D$7)</f>
        <v/>
      </c>
      <c r="H298" s="9" t="str">
        <f>IF($A298="","",IF($C298="Bubble Mailer",1,0)*'Material Costs'!$D$5)</f>
        <v/>
      </c>
      <c r="I298" s="9" t="str">
        <f>IF($A298="","",IF($C298="ESE (Ding Defend)",1,0)*'Material Costs'!$D$4)</f>
        <v/>
      </c>
      <c r="J298" s="9"/>
      <c r="K298" s="9" t="str">
        <f t="shared" si="36"/>
        <v/>
      </c>
      <c r="L298" s="9"/>
      <c r="M298" s="9"/>
      <c r="N298" s="9"/>
      <c r="O298" s="9" t="str">
        <f t="shared" si="37"/>
        <v/>
      </c>
      <c r="P298" s="9"/>
      <c r="Q298" s="9" t="str">
        <f>IF($A298="","",IF($O298="", "", ROUND($O298*Settings!$B$2+Settings!$B$3,2)))</f>
        <v/>
      </c>
      <c r="R298" s="9" t="str">
        <f>IF($A298="","",IF($L298="", "", Settings!$B$4))</f>
        <v/>
      </c>
      <c r="S298" s="9" t="str">
        <f t="shared" si="38"/>
        <v/>
      </c>
      <c r="T298" s="9" t="str">
        <f t="shared" si="39"/>
        <v/>
      </c>
      <c r="U298" s="9" t="str">
        <f>IF($A298="","",IF($K298="", "", ROUND((($K298 + Settings!$B$3 + $R298) - IF($M298="",0,$M298))/(1-Settings!$B$2),2)))</f>
        <v/>
      </c>
      <c r="V298" s="9" t="str">
        <f>IF($A298="","",$L298-($L298*Settings!$B$2)-$J298-($B298+SUM($D298:$I298)))</f>
        <v/>
      </c>
      <c r="W298" s="9" t="str">
        <f>IF($A298="","",(($B298+SUM($D298:$I298)+$J298+Settings!$B$3)/(1-Settings!$B$2))-$M298)</f>
        <v/>
      </c>
      <c r="X298" s="10" t="str">
        <f t="shared" si="40"/>
        <v/>
      </c>
      <c r="Y298" s="10" t="str">
        <f t="shared" si="41"/>
        <v/>
      </c>
      <c r="Z298" s="10" t="str">
        <f t="shared" si="42"/>
        <v/>
      </c>
      <c r="AA298" s="10" t="str">
        <f t="shared" si="43"/>
        <v/>
      </c>
      <c r="AC298" s="11"/>
      <c r="AD298" s="11"/>
      <c r="AE298" s="12" t="str">
        <f t="shared" si="44"/>
        <v/>
      </c>
    </row>
    <row r="299" spans="2:31" x14ac:dyDescent="0.25">
      <c r="B299" s="9"/>
      <c r="C299" t="s">
        <v>31</v>
      </c>
      <c r="D299" s="9" t="str">
        <f>IF($A299="","",1*'Material Costs'!$D$3)</f>
        <v/>
      </c>
      <c r="E299" s="9" t="str">
        <f>IF($A299="","",1*'Material Costs'!$D$2)</f>
        <v/>
      </c>
      <c r="F299" s="9" t="str">
        <f>IF($A299="","",IF($C299="Bubble Mailer",2,1)*'Material Costs'!$D$6)</f>
        <v/>
      </c>
      <c r="G299" s="9" t="str">
        <f>IF($A299="","",1*'Material Costs'!$D$7)</f>
        <v/>
      </c>
      <c r="H299" s="9" t="str">
        <f>IF($A299="","",IF($C299="Bubble Mailer",1,0)*'Material Costs'!$D$5)</f>
        <v/>
      </c>
      <c r="I299" s="9" t="str">
        <f>IF($A299="","",IF($C299="ESE (Ding Defend)",1,0)*'Material Costs'!$D$4)</f>
        <v/>
      </c>
      <c r="J299" s="9"/>
      <c r="K299" s="9" t="str">
        <f t="shared" si="36"/>
        <v/>
      </c>
      <c r="L299" s="9"/>
      <c r="M299" s="9"/>
      <c r="N299" s="9"/>
      <c r="O299" s="9" t="str">
        <f t="shared" si="37"/>
        <v/>
      </c>
      <c r="P299" s="9"/>
      <c r="Q299" s="9" t="str">
        <f>IF($A299="","",IF($O299="", "", ROUND($O299*Settings!$B$2+Settings!$B$3,2)))</f>
        <v/>
      </c>
      <c r="R299" s="9" t="str">
        <f>IF($A299="","",IF($L299="", "", Settings!$B$4))</f>
        <v/>
      </c>
      <c r="S299" s="9" t="str">
        <f t="shared" si="38"/>
        <v/>
      </c>
      <c r="T299" s="9" t="str">
        <f t="shared" si="39"/>
        <v/>
      </c>
      <c r="U299" s="9" t="str">
        <f>IF($A299="","",IF($K299="", "", ROUND((($K299 + Settings!$B$3 + $R299) - IF($M299="",0,$M299))/(1-Settings!$B$2),2)))</f>
        <v/>
      </c>
      <c r="V299" s="9" t="str">
        <f>IF($A299="","",$L299-($L299*Settings!$B$2)-$J299-($B299+SUM($D299:$I299)))</f>
        <v/>
      </c>
      <c r="W299" s="9" t="str">
        <f>IF($A299="","",(($B299+SUM($D299:$I299)+$J299+Settings!$B$3)/(1-Settings!$B$2))-$M299)</f>
        <v/>
      </c>
      <c r="X299" s="10" t="str">
        <f t="shared" si="40"/>
        <v/>
      </c>
      <c r="Y299" s="10" t="str">
        <f t="shared" si="41"/>
        <v/>
      </c>
      <c r="Z299" s="10" t="str">
        <f t="shared" si="42"/>
        <v/>
      </c>
      <c r="AA299" s="10" t="str">
        <f t="shared" si="43"/>
        <v/>
      </c>
      <c r="AC299" s="11"/>
      <c r="AD299" s="11"/>
      <c r="AE299" s="12" t="str">
        <f t="shared" si="44"/>
        <v/>
      </c>
    </row>
    <row r="300" spans="2:31" x14ac:dyDescent="0.25">
      <c r="B300" s="9"/>
      <c r="C300" t="s">
        <v>31</v>
      </c>
      <c r="D300" s="9" t="str">
        <f>IF($A300="","",1*'Material Costs'!$D$3)</f>
        <v/>
      </c>
      <c r="E300" s="9" t="str">
        <f>IF($A300="","",1*'Material Costs'!$D$2)</f>
        <v/>
      </c>
      <c r="F300" s="9" t="str">
        <f>IF($A300="","",IF($C300="Bubble Mailer",2,1)*'Material Costs'!$D$6)</f>
        <v/>
      </c>
      <c r="G300" s="9" t="str">
        <f>IF($A300="","",1*'Material Costs'!$D$7)</f>
        <v/>
      </c>
      <c r="H300" s="9" t="str">
        <f>IF($A300="","",IF($C300="Bubble Mailer",1,0)*'Material Costs'!$D$5)</f>
        <v/>
      </c>
      <c r="I300" s="9" t="str">
        <f>IF($A300="","",IF($C300="ESE (Ding Defend)",1,0)*'Material Costs'!$D$4)</f>
        <v/>
      </c>
      <c r="J300" s="9"/>
      <c r="K300" s="9" t="str">
        <f t="shared" si="36"/>
        <v/>
      </c>
      <c r="L300" s="9"/>
      <c r="M300" s="9"/>
      <c r="N300" s="9"/>
      <c r="O300" s="9" t="str">
        <f t="shared" si="37"/>
        <v/>
      </c>
      <c r="P300" s="9"/>
      <c r="Q300" s="9" t="str">
        <f>IF($A300="","",IF($O300="", "", ROUND($O300*Settings!$B$2+Settings!$B$3,2)))</f>
        <v/>
      </c>
      <c r="R300" s="9" t="str">
        <f>IF($A300="","",IF($L300="", "", Settings!$B$4))</f>
        <v/>
      </c>
      <c r="S300" s="9" t="str">
        <f t="shared" si="38"/>
        <v/>
      </c>
      <c r="T300" s="9" t="str">
        <f t="shared" si="39"/>
        <v/>
      </c>
      <c r="U300" s="9" t="str">
        <f>IF($A300="","",IF($K300="", "", ROUND((($K300 + Settings!$B$3 + $R300) - IF($M300="",0,$M300))/(1-Settings!$B$2),2)))</f>
        <v/>
      </c>
      <c r="V300" s="9" t="str">
        <f>IF($A300="","",$L300-($L300*Settings!$B$2)-$J300-($B300+SUM($D300:$I300)))</f>
        <v/>
      </c>
      <c r="W300" s="9" t="str">
        <f>IF($A300="","",(($B300+SUM($D300:$I300)+$J300+Settings!$B$3)/(1-Settings!$B$2))-$M300)</f>
        <v/>
      </c>
      <c r="X300" s="10" t="str">
        <f t="shared" si="40"/>
        <v/>
      </c>
      <c r="Y300" s="10" t="str">
        <f t="shared" si="41"/>
        <v/>
      </c>
      <c r="Z300" s="10" t="str">
        <f t="shared" si="42"/>
        <v/>
      </c>
      <c r="AA300" s="10" t="str">
        <f t="shared" si="43"/>
        <v/>
      </c>
      <c r="AC300" s="11"/>
      <c r="AD300" s="11"/>
      <c r="AE300" s="12" t="str">
        <f t="shared" si="44"/>
        <v/>
      </c>
    </row>
    <row r="301" spans="2:31" x14ac:dyDescent="0.25">
      <c r="B301" s="9"/>
      <c r="C301" t="s">
        <v>31</v>
      </c>
      <c r="D301" s="9" t="str">
        <f>IF($A301="","",1*'Material Costs'!$D$3)</f>
        <v/>
      </c>
      <c r="E301" s="9" t="str">
        <f>IF($A301="","",1*'Material Costs'!$D$2)</f>
        <v/>
      </c>
      <c r="F301" s="9" t="str">
        <f>IF($A301="","",IF($C301="Bubble Mailer",2,1)*'Material Costs'!$D$6)</f>
        <v/>
      </c>
      <c r="G301" s="9" t="str">
        <f>IF($A301="","",1*'Material Costs'!$D$7)</f>
        <v/>
      </c>
      <c r="H301" s="9" t="str">
        <f>IF($A301="","",IF($C301="Bubble Mailer",1,0)*'Material Costs'!$D$5)</f>
        <v/>
      </c>
      <c r="I301" s="9" t="str">
        <f>IF($A301="","",IF($C301="ESE (Ding Defend)",1,0)*'Material Costs'!$D$4)</f>
        <v/>
      </c>
      <c r="J301" s="9"/>
      <c r="K301" s="9" t="str">
        <f t="shared" si="36"/>
        <v/>
      </c>
      <c r="L301" s="9"/>
      <c r="M301" s="9"/>
      <c r="N301" s="9"/>
      <c r="O301" s="9" t="str">
        <f t="shared" si="37"/>
        <v/>
      </c>
      <c r="P301" s="9"/>
      <c r="Q301" s="9" t="str">
        <f>IF($A301="","",IF($O301="", "", ROUND($O301*Settings!$B$2+Settings!$B$3,2)))</f>
        <v/>
      </c>
      <c r="R301" s="9" t="str">
        <f>IF($A301="","",IF($L301="", "", Settings!$B$4))</f>
        <v/>
      </c>
      <c r="S301" s="9" t="str">
        <f t="shared" si="38"/>
        <v/>
      </c>
      <c r="T301" s="9" t="str">
        <f t="shared" si="39"/>
        <v/>
      </c>
      <c r="U301" s="9" t="str">
        <f>IF($A301="","",IF($K301="", "", ROUND((($K301 + Settings!$B$3 + $R301) - IF($M301="",0,$M301))/(1-Settings!$B$2),2)))</f>
        <v/>
      </c>
      <c r="V301" s="9" t="str">
        <f>IF($A301="","",$L301-($L301*Settings!$B$2)-$J301-($B301+SUM($D301:$I301)))</f>
        <v/>
      </c>
      <c r="W301" s="9" t="str">
        <f>IF($A301="","",(($B301+SUM($D301:$I301)+$J301+Settings!$B$3)/(1-Settings!$B$2))-$M301)</f>
        <v/>
      </c>
      <c r="X301" s="10" t="str">
        <f t="shared" si="40"/>
        <v/>
      </c>
      <c r="Y301" s="10" t="str">
        <f t="shared" si="41"/>
        <v/>
      </c>
      <c r="Z301" s="10" t="str">
        <f t="shared" si="42"/>
        <v/>
      </c>
      <c r="AA301" s="10" t="str">
        <f t="shared" si="43"/>
        <v/>
      </c>
      <c r="AC301" s="11"/>
      <c r="AD301" s="11"/>
      <c r="AE301" s="12" t="str">
        <f t="shared" si="44"/>
        <v/>
      </c>
    </row>
    <row r="302" spans="2:31" x14ac:dyDescent="0.25">
      <c r="B302" s="9"/>
      <c r="C302" t="s">
        <v>31</v>
      </c>
      <c r="D302" s="9" t="str">
        <f>IF($A302="","",1*'Material Costs'!$D$3)</f>
        <v/>
      </c>
      <c r="E302" s="9" t="str">
        <f>IF($A302="","",1*'Material Costs'!$D$2)</f>
        <v/>
      </c>
      <c r="F302" s="9" t="str">
        <f>IF($A302="","",IF($C302="Bubble Mailer",2,1)*'Material Costs'!$D$6)</f>
        <v/>
      </c>
      <c r="G302" s="9" t="str">
        <f>IF($A302="","",1*'Material Costs'!$D$7)</f>
        <v/>
      </c>
      <c r="H302" s="9" t="str">
        <f>IF($A302="","",IF($C302="Bubble Mailer",1,0)*'Material Costs'!$D$5)</f>
        <v/>
      </c>
      <c r="I302" s="9" t="str">
        <f>IF($A302="","",IF($C302="ESE (Ding Defend)",1,0)*'Material Costs'!$D$4)</f>
        <v/>
      </c>
      <c r="J302" s="9"/>
      <c r="K302" s="9" t="str">
        <f t="shared" si="36"/>
        <v/>
      </c>
      <c r="L302" s="9"/>
      <c r="M302" s="9"/>
      <c r="N302" s="9"/>
      <c r="O302" s="9" t="str">
        <f t="shared" si="37"/>
        <v/>
      </c>
      <c r="P302" s="9"/>
      <c r="Q302" s="9" t="str">
        <f>IF($A302="","",IF($O302="", "", ROUND($O302*Settings!$B$2+Settings!$B$3,2)))</f>
        <v/>
      </c>
      <c r="R302" s="9" t="str">
        <f>IF($A302="","",IF($L302="", "", Settings!$B$4))</f>
        <v/>
      </c>
      <c r="S302" s="9" t="str">
        <f t="shared" si="38"/>
        <v/>
      </c>
      <c r="T302" s="9" t="str">
        <f t="shared" si="39"/>
        <v/>
      </c>
      <c r="U302" s="9" t="str">
        <f>IF($A302="","",IF($K302="", "", ROUND((($K302 + Settings!$B$3 + $R302) - IF($M302="",0,$M302))/(1-Settings!$B$2),2)))</f>
        <v/>
      </c>
      <c r="V302" s="9" t="str">
        <f>IF($A302="","",$L302-($L302*Settings!$B$2)-$J302-($B302+SUM($D302:$I302)))</f>
        <v/>
      </c>
      <c r="W302" s="9" t="str">
        <f>IF($A302="","",(($B302+SUM($D302:$I302)+$J302+Settings!$B$3)/(1-Settings!$B$2))-$M302)</f>
        <v/>
      </c>
      <c r="X302" s="10" t="str">
        <f t="shared" si="40"/>
        <v/>
      </c>
      <c r="Y302" s="10" t="str">
        <f t="shared" si="41"/>
        <v/>
      </c>
      <c r="Z302" s="10" t="str">
        <f t="shared" si="42"/>
        <v/>
      </c>
      <c r="AA302" s="10" t="str">
        <f t="shared" si="43"/>
        <v/>
      </c>
      <c r="AC302" s="11"/>
      <c r="AD302" s="11"/>
      <c r="AE302" s="12" t="str">
        <f t="shared" si="44"/>
        <v/>
      </c>
    </row>
    <row r="303" spans="2:31" x14ac:dyDescent="0.25">
      <c r="B303" s="9"/>
      <c r="C303" t="s">
        <v>31</v>
      </c>
      <c r="D303" s="9" t="str">
        <f>IF($A303="","",1*'Material Costs'!$D$3)</f>
        <v/>
      </c>
      <c r="E303" s="9" t="str">
        <f>IF($A303="","",1*'Material Costs'!$D$2)</f>
        <v/>
      </c>
      <c r="F303" s="9" t="str">
        <f>IF($A303="","",IF($C303="Bubble Mailer",2,1)*'Material Costs'!$D$6)</f>
        <v/>
      </c>
      <c r="G303" s="9" t="str">
        <f>IF($A303="","",1*'Material Costs'!$D$7)</f>
        <v/>
      </c>
      <c r="H303" s="9" t="str">
        <f>IF($A303="","",IF($C303="Bubble Mailer",1,0)*'Material Costs'!$D$5)</f>
        <v/>
      </c>
      <c r="I303" s="9" t="str">
        <f>IF($A303="","",IF($C303="ESE (Ding Defend)",1,0)*'Material Costs'!$D$4)</f>
        <v/>
      </c>
      <c r="J303" s="9"/>
      <c r="K303" s="9" t="str">
        <f t="shared" si="36"/>
        <v/>
      </c>
      <c r="L303" s="9"/>
      <c r="M303" s="9"/>
      <c r="N303" s="9"/>
      <c r="O303" s="9" t="str">
        <f t="shared" si="37"/>
        <v/>
      </c>
      <c r="P303" s="9"/>
      <c r="Q303" s="9" t="str">
        <f>IF($A303="","",IF($O303="", "", ROUND($O303*Settings!$B$2+Settings!$B$3,2)))</f>
        <v/>
      </c>
      <c r="R303" s="9" t="str">
        <f>IF($A303="","",IF($L303="", "", Settings!$B$4))</f>
        <v/>
      </c>
      <c r="S303" s="9" t="str">
        <f t="shared" si="38"/>
        <v/>
      </c>
      <c r="T303" s="9" t="str">
        <f t="shared" si="39"/>
        <v/>
      </c>
      <c r="U303" s="9" t="str">
        <f>IF($A303="","",IF($K303="", "", ROUND((($K303 + Settings!$B$3 + $R303) - IF($M303="",0,$M303))/(1-Settings!$B$2),2)))</f>
        <v/>
      </c>
      <c r="V303" s="9" t="str">
        <f>IF($A303="","",$L303-($L303*Settings!$B$2)-$J303-($B303+SUM($D303:$I303)))</f>
        <v/>
      </c>
      <c r="W303" s="9" t="str">
        <f>IF($A303="","",(($B303+SUM($D303:$I303)+$J303+Settings!$B$3)/(1-Settings!$B$2))-$M303)</f>
        <v/>
      </c>
      <c r="X303" s="10" t="str">
        <f t="shared" si="40"/>
        <v/>
      </c>
      <c r="Y303" s="10" t="str">
        <f t="shared" si="41"/>
        <v/>
      </c>
      <c r="Z303" s="10" t="str">
        <f t="shared" si="42"/>
        <v/>
      </c>
      <c r="AA303" s="10" t="str">
        <f t="shared" si="43"/>
        <v/>
      </c>
      <c r="AC303" s="11"/>
      <c r="AD303" s="11"/>
      <c r="AE303" s="12" t="str">
        <f t="shared" si="44"/>
        <v/>
      </c>
    </row>
    <row r="304" spans="2:31" x14ac:dyDescent="0.25">
      <c r="B304" s="9"/>
      <c r="C304" t="s">
        <v>31</v>
      </c>
      <c r="D304" s="9" t="str">
        <f>IF($A304="","",1*'Material Costs'!$D$3)</f>
        <v/>
      </c>
      <c r="E304" s="9" t="str">
        <f>IF($A304="","",1*'Material Costs'!$D$2)</f>
        <v/>
      </c>
      <c r="F304" s="9" t="str">
        <f>IF($A304="","",IF($C304="Bubble Mailer",2,1)*'Material Costs'!$D$6)</f>
        <v/>
      </c>
      <c r="G304" s="9" t="str">
        <f>IF($A304="","",1*'Material Costs'!$D$7)</f>
        <v/>
      </c>
      <c r="H304" s="9" t="str">
        <f>IF($A304="","",IF($C304="Bubble Mailer",1,0)*'Material Costs'!$D$5)</f>
        <v/>
      </c>
      <c r="I304" s="9" t="str">
        <f>IF($A304="","",IF($C304="ESE (Ding Defend)",1,0)*'Material Costs'!$D$4)</f>
        <v/>
      </c>
      <c r="J304" s="9"/>
      <c r="K304" s="9" t="str">
        <f t="shared" si="36"/>
        <v/>
      </c>
      <c r="L304" s="9"/>
      <c r="M304" s="9"/>
      <c r="N304" s="9"/>
      <c r="O304" s="9" t="str">
        <f t="shared" si="37"/>
        <v/>
      </c>
      <c r="P304" s="9"/>
      <c r="Q304" s="9" t="str">
        <f>IF($A304="","",IF($O304="", "", ROUND($O304*Settings!$B$2+Settings!$B$3,2)))</f>
        <v/>
      </c>
      <c r="R304" s="9" t="str">
        <f>IF($A304="","",IF($L304="", "", Settings!$B$4))</f>
        <v/>
      </c>
      <c r="S304" s="9" t="str">
        <f t="shared" si="38"/>
        <v/>
      </c>
      <c r="T304" s="9" t="str">
        <f t="shared" si="39"/>
        <v/>
      </c>
      <c r="U304" s="9" t="str">
        <f>IF($A304="","",IF($K304="", "", ROUND((($K304 + Settings!$B$3 + $R304) - IF($M304="",0,$M304))/(1-Settings!$B$2),2)))</f>
        <v/>
      </c>
      <c r="V304" s="9" t="str">
        <f>IF($A304="","",$L304-($L304*Settings!$B$2)-$J304-($B304+SUM($D304:$I304)))</f>
        <v/>
      </c>
      <c r="W304" s="9" t="str">
        <f>IF($A304="","",(($B304+SUM($D304:$I304)+$J304+Settings!$B$3)/(1-Settings!$B$2))-$M304)</f>
        <v/>
      </c>
      <c r="X304" s="10" t="str">
        <f t="shared" si="40"/>
        <v/>
      </c>
      <c r="Y304" s="10" t="str">
        <f t="shared" si="41"/>
        <v/>
      </c>
      <c r="Z304" s="10" t="str">
        <f t="shared" si="42"/>
        <v/>
      </c>
      <c r="AA304" s="10" t="str">
        <f t="shared" si="43"/>
        <v/>
      </c>
      <c r="AC304" s="11"/>
      <c r="AD304" s="11"/>
      <c r="AE304" s="12" t="str">
        <f t="shared" si="44"/>
        <v/>
      </c>
    </row>
    <row r="305" spans="2:31" x14ac:dyDescent="0.25">
      <c r="B305" s="9"/>
      <c r="C305" t="s">
        <v>31</v>
      </c>
      <c r="D305" s="9" t="str">
        <f>IF($A305="","",1*'Material Costs'!$D$3)</f>
        <v/>
      </c>
      <c r="E305" s="9" t="str">
        <f>IF($A305="","",1*'Material Costs'!$D$2)</f>
        <v/>
      </c>
      <c r="F305" s="9" t="str">
        <f>IF($A305="","",IF($C305="Bubble Mailer",2,1)*'Material Costs'!$D$6)</f>
        <v/>
      </c>
      <c r="G305" s="9" t="str">
        <f>IF($A305="","",1*'Material Costs'!$D$7)</f>
        <v/>
      </c>
      <c r="H305" s="9" t="str">
        <f>IF($A305="","",IF($C305="Bubble Mailer",1,0)*'Material Costs'!$D$5)</f>
        <v/>
      </c>
      <c r="I305" s="9" t="str">
        <f>IF($A305="","",IF($C305="ESE (Ding Defend)",1,0)*'Material Costs'!$D$4)</f>
        <v/>
      </c>
      <c r="J305" s="9"/>
      <c r="K305" s="9" t="str">
        <f t="shared" si="36"/>
        <v/>
      </c>
      <c r="L305" s="9"/>
      <c r="M305" s="9"/>
      <c r="N305" s="9"/>
      <c r="O305" s="9" t="str">
        <f t="shared" si="37"/>
        <v/>
      </c>
      <c r="P305" s="9"/>
      <c r="Q305" s="9" t="str">
        <f>IF($A305="","",IF($O305="", "", ROUND($O305*Settings!$B$2+Settings!$B$3,2)))</f>
        <v/>
      </c>
      <c r="R305" s="9" t="str">
        <f>IF($A305="","",IF($L305="", "", Settings!$B$4))</f>
        <v/>
      </c>
      <c r="S305" s="9" t="str">
        <f t="shared" si="38"/>
        <v/>
      </c>
      <c r="T305" s="9" t="str">
        <f t="shared" si="39"/>
        <v/>
      </c>
      <c r="U305" s="9" t="str">
        <f>IF($A305="","",IF($K305="", "", ROUND((($K305 + Settings!$B$3 + $R305) - IF($M305="",0,$M305))/(1-Settings!$B$2),2)))</f>
        <v/>
      </c>
      <c r="V305" s="9" t="str">
        <f>IF($A305="","",$L305-($L305*Settings!$B$2)-$J305-($B305+SUM($D305:$I305)))</f>
        <v/>
      </c>
      <c r="W305" s="9" t="str">
        <f>IF($A305="","",(($B305+SUM($D305:$I305)+$J305+Settings!$B$3)/(1-Settings!$B$2))-$M305)</f>
        <v/>
      </c>
      <c r="X305" s="10" t="str">
        <f t="shared" si="40"/>
        <v/>
      </c>
      <c r="Y305" s="10" t="str">
        <f t="shared" si="41"/>
        <v/>
      </c>
      <c r="Z305" s="10" t="str">
        <f t="shared" si="42"/>
        <v/>
      </c>
      <c r="AA305" s="10" t="str">
        <f t="shared" si="43"/>
        <v/>
      </c>
      <c r="AC305" s="11"/>
      <c r="AD305" s="11"/>
      <c r="AE305" s="12" t="str">
        <f t="shared" si="44"/>
        <v/>
      </c>
    </row>
    <row r="306" spans="2:31" x14ac:dyDescent="0.25">
      <c r="B306" s="9"/>
      <c r="C306" t="s">
        <v>31</v>
      </c>
      <c r="D306" s="9" t="str">
        <f>IF($A306="","",1*'Material Costs'!$D$3)</f>
        <v/>
      </c>
      <c r="E306" s="9" t="str">
        <f>IF($A306="","",1*'Material Costs'!$D$2)</f>
        <v/>
      </c>
      <c r="F306" s="9" t="str">
        <f>IF($A306="","",IF($C306="Bubble Mailer",2,1)*'Material Costs'!$D$6)</f>
        <v/>
      </c>
      <c r="G306" s="9" t="str">
        <f>IF($A306="","",1*'Material Costs'!$D$7)</f>
        <v/>
      </c>
      <c r="H306" s="9" t="str">
        <f>IF($A306="","",IF($C306="Bubble Mailer",1,0)*'Material Costs'!$D$5)</f>
        <v/>
      </c>
      <c r="I306" s="9" t="str">
        <f>IF($A306="","",IF($C306="ESE (Ding Defend)",1,0)*'Material Costs'!$D$4)</f>
        <v/>
      </c>
      <c r="J306" s="9"/>
      <c r="K306" s="9" t="str">
        <f t="shared" si="36"/>
        <v/>
      </c>
      <c r="L306" s="9"/>
      <c r="M306" s="9"/>
      <c r="N306" s="9"/>
      <c r="O306" s="9" t="str">
        <f t="shared" si="37"/>
        <v/>
      </c>
      <c r="P306" s="9"/>
      <c r="Q306" s="9" t="str">
        <f>IF($A306="","",IF($O306="", "", ROUND($O306*Settings!$B$2+Settings!$B$3,2)))</f>
        <v/>
      </c>
      <c r="R306" s="9" t="str">
        <f>IF($A306="","",IF($L306="", "", Settings!$B$4))</f>
        <v/>
      </c>
      <c r="S306" s="9" t="str">
        <f t="shared" si="38"/>
        <v/>
      </c>
      <c r="T306" s="9" t="str">
        <f t="shared" si="39"/>
        <v/>
      </c>
      <c r="U306" s="9" t="str">
        <f>IF($A306="","",IF($K306="", "", ROUND((($K306 + Settings!$B$3 + $R306) - IF($M306="",0,$M306))/(1-Settings!$B$2),2)))</f>
        <v/>
      </c>
      <c r="V306" s="9" t="str">
        <f>IF($A306="","",$L306-($L306*Settings!$B$2)-$J306-($B306+SUM($D306:$I306)))</f>
        <v/>
      </c>
      <c r="W306" s="9" t="str">
        <f>IF($A306="","",(($B306+SUM($D306:$I306)+$J306+Settings!$B$3)/(1-Settings!$B$2))-$M306)</f>
        <v/>
      </c>
      <c r="X306" s="10" t="str">
        <f t="shared" si="40"/>
        <v/>
      </c>
      <c r="Y306" s="10" t="str">
        <f t="shared" si="41"/>
        <v/>
      </c>
      <c r="Z306" s="10" t="str">
        <f t="shared" si="42"/>
        <v/>
      </c>
      <c r="AA306" s="10" t="str">
        <f t="shared" si="43"/>
        <v/>
      </c>
      <c r="AC306" s="11"/>
      <c r="AD306" s="11"/>
      <c r="AE306" s="12" t="str">
        <f t="shared" si="44"/>
        <v/>
      </c>
    </row>
    <row r="307" spans="2:31" x14ac:dyDescent="0.25">
      <c r="B307" s="9"/>
      <c r="C307" t="s">
        <v>31</v>
      </c>
      <c r="D307" s="9" t="str">
        <f>IF($A307="","",1*'Material Costs'!$D$3)</f>
        <v/>
      </c>
      <c r="E307" s="9" t="str">
        <f>IF($A307="","",1*'Material Costs'!$D$2)</f>
        <v/>
      </c>
      <c r="F307" s="9" t="str">
        <f>IF($A307="","",IF($C307="Bubble Mailer",2,1)*'Material Costs'!$D$6)</f>
        <v/>
      </c>
      <c r="G307" s="9" t="str">
        <f>IF($A307="","",1*'Material Costs'!$D$7)</f>
        <v/>
      </c>
      <c r="H307" s="9" t="str">
        <f>IF($A307="","",IF($C307="Bubble Mailer",1,0)*'Material Costs'!$D$5)</f>
        <v/>
      </c>
      <c r="I307" s="9" t="str">
        <f>IF($A307="","",IF($C307="ESE (Ding Defend)",1,0)*'Material Costs'!$D$4)</f>
        <v/>
      </c>
      <c r="J307" s="9"/>
      <c r="K307" s="9" t="str">
        <f t="shared" si="36"/>
        <v/>
      </c>
      <c r="L307" s="9"/>
      <c r="M307" s="9"/>
      <c r="N307" s="9"/>
      <c r="O307" s="9" t="str">
        <f t="shared" si="37"/>
        <v/>
      </c>
      <c r="P307" s="9"/>
      <c r="Q307" s="9" t="str">
        <f>IF($A307="","",IF($O307="", "", ROUND($O307*Settings!$B$2+Settings!$B$3,2)))</f>
        <v/>
      </c>
      <c r="R307" s="9" t="str">
        <f>IF($A307="","",IF($L307="", "", Settings!$B$4))</f>
        <v/>
      </c>
      <c r="S307" s="9" t="str">
        <f t="shared" si="38"/>
        <v/>
      </c>
      <c r="T307" s="9" t="str">
        <f t="shared" si="39"/>
        <v/>
      </c>
      <c r="U307" s="9" t="str">
        <f>IF($A307="","",IF($K307="", "", ROUND((($K307 + Settings!$B$3 + $R307) - IF($M307="",0,$M307))/(1-Settings!$B$2),2)))</f>
        <v/>
      </c>
      <c r="V307" s="9" t="str">
        <f>IF($A307="","",$L307-($L307*Settings!$B$2)-$J307-($B307+SUM($D307:$I307)))</f>
        <v/>
      </c>
      <c r="W307" s="9" t="str">
        <f>IF($A307="","",(($B307+SUM($D307:$I307)+$J307+Settings!$B$3)/(1-Settings!$B$2))-$M307)</f>
        <v/>
      </c>
      <c r="X307" s="10" t="str">
        <f t="shared" si="40"/>
        <v/>
      </c>
      <c r="Y307" s="10" t="str">
        <f t="shared" si="41"/>
        <v/>
      </c>
      <c r="Z307" s="10" t="str">
        <f t="shared" si="42"/>
        <v/>
      </c>
      <c r="AA307" s="10" t="str">
        <f t="shared" si="43"/>
        <v/>
      </c>
      <c r="AC307" s="11"/>
      <c r="AD307" s="11"/>
      <c r="AE307" s="12" t="str">
        <f t="shared" si="44"/>
        <v/>
      </c>
    </row>
    <row r="308" spans="2:31" x14ac:dyDescent="0.25">
      <c r="B308" s="9"/>
      <c r="C308" t="s">
        <v>31</v>
      </c>
      <c r="D308" s="9" t="str">
        <f>IF($A308="","",1*'Material Costs'!$D$3)</f>
        <v/>
      </c>
      <c r="E308" s="9" t="str">
        <f>IF($A308="","",1*'Material Costs'!$D$2)</f>
        <v/>
      </c>
      <c r="F308" s="9" t="str">
        <f>IF($A308="","",IF($C308="Bubble Mailer",2,1)*'Material Costs'!$D$6)</f>
        <v/>
      </c>
      <c r="G308" s="9" t="str">
        <f>IF($A308="","",1*'Material Costs'!$D$7)</f>
        <v/>
      </c>
      <c r="H308" s="9" t="str">
        <f>IF($A308="","",IF($C308="Bubble Mailer",1,0)*'Material Costs'!$D$5)</f>
        <v/>
      </c>
      <c r="I308" s="9" t="str">
        <f>IF($A308="","",IF($C308="ESE (Ding Defend)",1,0)*'Material Costs'!$D$4)</f>
        <v/>
      </c>
      <c r="J308" s="9"/>
      <c r="K308" s="9" t="str">
        <f t="shared" si="36"/>
        <v/>
      </c>
      <c r="L308" s="9"/>
      <c r="M308" s="9"/>
      <c r="N308" s="9"/>
      <c r="O308" s="9" t="str">
        <f t="shared" si="37"/>
        <v/>
      </c>
      <c r="P308" s="9"/>
      <c r="Q308" s="9" t="str">
        <f>IF($A308="","",IF($O308="", "", ROUND($O308*Settings!$B$2+Settings!$B$3,2)))</f>
        <v/>
      </c>
      <c r="R308" s="9" t="str">
        <f>IF($A308="","",IF($L308="", "", Settings!$B$4))</f>
        <v/>
      </c>
      <c r="S308" s="9" t="str">
        <f t="shared" si="38"/>
        <v/>
      </c>
      <c r="T308" s="9" t="str">
        <f t="shared" si="39"/>
        <v/>
      </c>
      <c r="U308" s="9" t="str">
        <f>IF($A308="","",IF($K308="", "", ROUND((($K308 + Settings!$B$3 + $R308) - IF($M308="",0,$M308))/(1-Settings!$B$2),2)))</f>
        <v/>
      </c>
      <c r="V308" s="9" t="str">
        <f>IF($A308="","",$L308-($L308*Settings!$B$2)-$J308-($B308+SUM($D308:$I308)))</f>
        <v/>
      </c>
      <c r="W308" s="9" t="str">
        <f>IF($A308="","",(($B308+SUM($D308:$I308)+$J308+Settings!$B$3)/(1-Settings!$B$2))-$M308)</f>
        <v/>
      </c>
      <c r="X308" s="10" t="str">
        <f t="shared" si="40"/>
        <v/>
      </c>
      <c r="Y308" s="10" t="str">
        <f t="shared" si="41"/>
        <v/>
      </c>
      <c r="Z308" s="10" t="str">
        <f t="shared" si="42"/>
        <v/>
      </c>
      <c r="AA308" s="10" t="str">
        <f t="shared" si="43"/>
        <v/>
      </c>
      <c r="AC308" s="11"/>
      <c r="AD308" s="11"/>
      <c r="AE308" s="12" t="str">
        <f t="shared" si="44"/>
        <v/>
      </c>
    </row>
    <row r="309" spans="2:31" x14ac:dyDescent="0.25">
      <c r="B309" s="9"/>
      <c r="C309" t="s">
        <v>31</v>
      </c>
      <c r="D309" s="9" t="str">
        <f>IF($A309="","",1*'Material Costs'!$D$3)</f>
        <v/>
      </c>
      <c r="E309" s="9" t="str">
        <f>IF($A309="","",1*'Material Costs'!$D$2)</f>
        <v/>
      </c>
      <c r="F309" s="9" t="str">
        <f>IF($A309="","",IF($C309="Bubble Mailer",2,1)*'Material Costs'!$D$6)</f>
        <v/>
      </c>
      <c r="G309" s="9" t="str">
        <f>IF($A309="","",1*'Material Costs'!$D$7)</f>
        <v/>
      </c>
      <c r="H309" s="9" t="str">
        <f>IF($A309="","",IF($C309="Bubble Mailer",1,0)*'Material Costs'!$D$5)</f>
        <v/>
      </c>
      <c r="I309" s="9" t="str">
        <f>IF($A309="","",IF($C309="ESE (Ding Defend)",1,0)*'Material Costs'!$D$4)</f>
        <v/>
      </c>
      <c r="J309" s="9"/>
      <c r="K309" s="9" t="str">
        <f t="shared" si="36"/>
        <v/>
      </c>
      <c r="L309" s="9"/>
      <c r="M309" s="9"/>
      <c r="N309" s="9"/>
      <c r="O309" s="9" t="str">
        <f t="shared" si="37"/>
        <v/>
      </c>
      <c r="P309" s="9"/>
      <c r="Q309" s="9" t="str">
        <f>IF($A309="","",IF($O309="", "", ROUND($O309*Settings!$B$2+Settings!$B$3,2)))</f>
        <v/>
      </c>
      <c r="R309" s="9" t="str">
        <f>IF($A309="","",IF($L309="", "", Settings!$B$4))</f>
        <v/>
      </c>
      <c r="S309" s="9" t="str">
        <f t="shared" si="38"/>
        <v/>
      </c>
      <c r="T309" s="9" t="str">
        <f t="shared" si="39"/>
        <v/>
      </c>
      <c r="U309" s="9" t="str">
        <f>IF($A309="","",IF($K309="", "", ROUND((($K309 + Settings!$B$3 + $R309) - IF($M309="",0,$M309))/(1-Settings!$B$2),2)))</f>
        <v/>
      </c>
      <c r="V309" s="9" t="str">
        <f>IF($A309="","",$L309-($L309*Settings!$B$2)-$J309-($B309+SUM($D309:$I309)))</f>
        <v/>
      </c>
      <c r="W309" s="9" t="str">
        <f>IF($A309="","",(($B309+SUM($D309:$I309)+$J309+Settings!$B$3)/(1-Settings!$B$2))-$M309)</f>
        <v/>
      </c>
      <c r="X309" s="10" t="str">
        <f t="shared" si="40"/>
        <v/>
      </c>
      <c r="Y309" s="10" t="str">
        <f t="shared" si="41"/>
        <v/>
      </c>
      <c r="Z309" s="10" t="str">
        <f t="shared" si="42"/>
        <v/>
      </c>
      <c r="AA309" s="10" t="str">
        <f t="shared" si="43"/>
        <v/>
      </c>
      <c r="AC309" s="11"/>
      <c r="AD309" s="11"/>
      <c r="AE309" s="12" t="str">
        <f t="shared" si="44"/>
        <v/>
      </c>
    </row>
    <row r="310" spans="2:31" x14ac:dyDescent="0.25">
      <c r="B310" s="9"/>
      <c r="C310" t="s">
        <v>31</v>
      </c>
      <c r="D310" s="9" t="str">
        <f>IF($A310="","",1*'Material Costs'!$D$3)</f>
        <v/>
      </c>
      <c r="E310" s="9" t="str">
        <f>IF($A310="","",1*'Material Costs'!$D$2)</f>
        <v/>
      </c>
      <c r="F310" s="9" t="str">
        <f>IF($A310="","",IF($C310="Bubble Mailer",2,1)*'Material Costs'!$D$6)</f>
        <v/>
      </c>
      <c r="G310" s="9" t="str">
        <f>IF($A310="","",1*'Material Costs'!$D$7)</f>
        <v/>
      </c>
      <c r="H310" s="9" t="str">
        <f>IF($A310="","",IF($C310="Bubble Mailer",1,0)*'Material Costs'!$D$5)</f>
        <v/>
      </c>
      <c r="I310" s="9" t="str">
        <f>IF($A310="","",IF($C310="ESE (Ding Defend)",1,0)*'Material Costs'!$D$4)</f>
        <v/>
      </c>
      <c r="J310" s="9"/>
      <c r="K310" s="9" t="str">
        <f t="shared" si="36"/>
        <v/>
      </c>
      <c r="L310" s="9"/>
      <c r="M310" s="9"/>
      <c r="N310" s="9"/>
      <c r="O310" s="9" t="str">
        <f t="shared" si="37"/>
        <v/>
      </c>
      <c r="P310" s="9"/>
      <c r="Q310" s="9" t="str">
        <f>IF($A310="","",IF($O310="", "", ROUND($O310*Settings!$B$2+Settings!$B$3,2)))</f>
        <v/>
      </c>
      <c r="R310" s="9" t="str">
        <f>IF($A310="","",IF($L310="", "", Settings!$B$4))</f>
        <v/>
      </c>
      <c r="S310" s="9" t="str">
        <f t="shared" si="38"/>
        <v/>
      </c>
      <c r="T310" s="9" t="str">
        <f t="shared" si="39"/>
        <v/>
      </c>
      <c r="U310" s="9" t="str">
        <f>IF($A310="","",IF($K310="", "", ROUND((($K310 + Settings!$B$3 + $R310) - IF($M310="",0,$M310))/(1-Settings!$B$2),2)))</f>
        <v/>
      </c>
      <c r="V310" s="9" t="str">
        <f>IF($A310="","",$L310-($L310*Settings!$B$2)-$J310-($B310+SUM($D310:$I310)))</f>
        <v/>
      </c>
      <c r="W310" s="9" t="str">
        <f>IF($A310="","",(($B310+SUM($D310:$I310)+$J310+Settings!$B$3)/(1-Settings!$B$2))-$M310)</f>
        <v/>
      </c>
      <c r="X310" s="10" t="str">
        <f t="shared" si="40"/>
        <v/>
      </c>
      <c r="Y310" s="10" t="str">
        <f t="shared" si="41"/>
        <v/>
      </c>
      <c r="Z310" s="10" t="str">
        <f t="shared" si="42"/>
        <v/>
      </c>
      <c r="AA310" s="10" t="str">
        <f t="shared" si="43"/>
        <v/>
      </c>
      <c r="AC310" s="11"/>
      <c r="AD310" s="11"/>
      <c r="AE310" s="12" t="str">
        <f t="shared" si="44"/>
        <v/>
      </c>
    </row>
    <row r="311" spans="2:31" x14ac:dyDescent="0.25">
      <c r="B311" s="9"/>
      <c r="C311" t="s">
        <v>31</v>
      </c>
      <c r="D311" s="9" t="str">
        <f>IF($A311="","",1*'Material Costs'!$D$3)</f>
        <v/>
      </c>
      <c r="E311" s="9" t="str">
        <f>IF($A311="","",1*'Material Costs'!$D$2)</f>
        <v/>
      </c>
      <c r="F311" s="9" t="str">
        <f>IF($A311="","",IF($C311="Bubble Mailer",2,1)*'Material Costs'!$D$6)</f>
        <v/>
      </c>
      <c r="G311" s="9" t="str">
        <f>IF($A311="","",1*'Material Costs'!$D$7)</f>
        <v/>
      </c>
      <c r="H311" s="9" t="str">
        <f>IF($A311="","",IF($C311="Bubble Mailer",1,0)*'Material Costs'!$D$5)</f>
        <v/>
      </c>
      <c r="I311" s="9" t="str">
        <f>IF($A311="","",IF($C311="ESE (Ding Defend)",1,0)*'Material Costs'!$D$4)</f>
        <v/>
      </c>
      <c r="J311" s="9"/>
      <c r="K311" s="9" t="str">
        <f t="shared" si="36"/>
        <v/>
      </c>
      <c r="L311" s="9"/>
      <c r="M311" s="9"/>
      <c r="N311" s="9"/>
      <c r="O311" s="9" t="str">
        <f t="shared" si="37"/>
        <v/>
      </c>
      <c r="P311" s="9"/>
      <c r="Q311" s="9" t="str">
        <f>IF($A311="","",IF($O311="", "", ROUND($O311*Settings!$B$2+Settings!$B$3,2)))</f>
        <v/>
      </c>
      <c r="R311" s="9" t="str">
        <f>IF($A311="","",IF($L311="", "", Settings!$B$4))</f>
        <v/>
      </c>
      <c r="S311" s="9" t="str">
        <f t="shared" si="38"/>
        <v/>
      </c>
      <c r="T311" s="9" t="str">
        <f t="shared" si="39"/>
        <v/>
      </c>
      <c r="U311" s="9" t="str">
        <f>IF($A311="","",IF($K311="", "", ROUND((($K311 + Settings!$B$3 + $R311) - IF($M311="",0,$M311))/(1-Settings!$B$2),2)))</f>
        <v/>
      </c>
      <c r="V311" s="9" t="str">
        <f>IF($A311="","",$L311-($L311*Settings!$B$2)-$J311-($B311+SUM($D311:$I311)))</f>
        <v/>
      </c>
      <c r="W311" s="9" t="str">
        <f>IF($A311="","",(($B311+SUM($D311:$I311)+$J311+Settings!$B$3)/(1-Settings!$B$2))-$M311)</f>
        <v/>
      </c>
      <c r="X311" s="10" t="str">
        <f t="shared" si="40"/>
        <v/>
      </c>
      <c r="Y311" s="10" t="str">
        <f t="shared" si="41"/>
        <v/>
      </c>
      <c r="Z311" s="10" t="str">
        <f t="shared" si="42"/>
        <v/>
      </c>
      <c r="AA311" s="10" t="str">
        <f t="shared" si="43"/>
        <v/>
      </c>
      <c r="AC311" s="11"/>
      <c r="AD311" s="11"/>
      <c r="AE311" s="12" t="str">
        <f t="shared" si="44"/>
        <v/>
      </c>
    </row>
    <row r="312" spans="2:31" x14ac:dyDescent="0.25">
      <c r="B312" s="9"/>
      <c r="C312" t="s">
        <v>31</v>
      </c>
      <c r="D312" s="9" t="str">
        <f>IF($A312="","",1*'Material Costs'!$D$3)</f>
        <v/>
      </c>
      <c r="E312" s="9" t="str">
        <f>IF($A312="","",1*'Material Costs'!$D$2)</f>
        <v/>
      </c>
      <c r="F312" s="9" t="str">
        <f>IF($A312="","",IF($C312="Bubble Mailer",2,1)*'Material Costs'!$D$6)</f>
        <v/>
      </c>
      <c r="G312" s="9" t="str">
        <f>IF($A312="","",1*'Material Costs'!$D$7)</f>
        <v/>
      </c>
      <c r="H312" s="9" t="str">
        <f>IF($A312="","",IF($C312="Bubble Mailer",1,0)*'Material Costs'!$D$5)</f>
        <v/>
      </c>
      <c r="I312" s="9" t="str">
        <f>IF($A312="","",IF($C312="ESE (Ding Defend)",1,0)*'Material Costs'!$D$4)</f>
        <v/>
      </c>
      <c r="J312" s="9"/>
      <c r="K312" s="9" t="str">
        <f t="shared" si="36"/>
        <v/>
      </c>
      <c r="L312" s="9"/>
      <c r="M312" s="9"/>
      <c r="N312" s="9"/>
      <c r="O312" s="9" t="str">
        <f t="shared" si="37"/>
        <v/>
      </c>
      <c r="P312" s="9"/>
      <c r="Q312" s="9" t="str">
        <f>IF($A312="","",IF($O312="", "", ROUND($O312*Settings!$B$2+Settings!$B$3,2)))</f>
        <v/>
      </c>
      <c r="R312" s="9" t="str">
        <f>IF($A312="","",IF($L312="", "", Settings!$B$4))</f>
        <v/>
      </c>
      <c r="S312" s="9" t="str">
        <f t="shared" si="38"/>
        <v/>
      </c>
      <c r="T312" s="9" t="str">
        <f t="shared" si="39"/>
        <v/>
      </c>
      <c r="U312" s="9" t="str">
        <f>IF($A312="","",IF($K312="", "", ROUND((($K312 + Settings!$B$3 + $R312) - IF($M312="",0,$M312))/(1-Settings!$B$2),2)))</f>
        <v/>
      </c>
      <c r="V312" s="9" t="str">
        <f>IF($A312="","",$L312-($L312*Settings!$B$2)-$J312-($B312+SUM($D312:$I312)))</f>
        <v/>
      </c>
      <c r="W312" s="9" t="str">
        <f>IF($A312="","",(($B312+SUM($D312:$I312)+$J312+Settings!$B$3)/(1-Settings!$B$2))-$M312)</f>
        <v/>
      </c>
      <c r="X312" s="10" t="str">
        <f t="shared" si="40"/>
        <v/>
      </c>
      <c r="Y312" s="10" t="str">
        <f t="shared" si="41"/>
        <v/>
      </c>
      <c r="Z312" s="10" t="str">
        <f t="shared" si="42"/>
        <v/>
      </c>
      <c r="AA312" s="10" t="str">
        <f t="shared" si="43"/>
        <v/>
      </c>
      <c r="AC312" s="11"/>
      <c r="AD312" s="11"/>
      <c r="AE312" s="12" t="str">
        <f t="shared" si="44"/>
        <v/>
      </c>
    </row>
    <row r="313" spans="2:31" x14ac:dyDescent="0.25">
      <c r="B313" s="9"/>
      <c r="C313" t="s">
        <v>31</v>
      </c>
      <c r="D313" s="9" t="str">
        <f>IF($A313="","",1*'Material Costs'!$D$3)</f>
        <v/>
      </c>
      <c r="E313" s="9" t="str">
        <f>IF($A313="","",1*'Material Costs'!$D$2)</f>
        <v/>
      </c>
      <c r="F313" s="9" t="str">
        <f>IF($A313="","",IF($C313="Bubble Mailer",2,1)*'Material Costs'!$D$6)</f>
        <v/>
      </c>
      <c r="G313" s="9" t="str">
        <f>IF($A313="","",1*'Material Costs'!$D$7)</f>
        <v/>
      </c>
      <c r="H313" s="9" t="str">
        <f>IF($A313="","",IF($C313="Bubble Mailer",1,0)*'Material Costs'!$D$5)</f>
        <v/>
      </c>
      <c r="I313" s="9" t="str">
        <f>IF($A313="","",IF($C313="ESE (Ding Defend)",1,0)*'Material Costs'!$D$4)</f>
        <v/>
      </c>
      <c r="J313" s="9"/>
      <c r="K313" s="9" t="str">
        <f t="shared" si="36"/>
        <v/>
      </c>
      <c r="L313" s="9"/>
      <c r="M313" s="9"/>
      <c r="N313" s="9"/>
      <c r="O313" s="9" t="str">
        <f t="shared" si="37"/>
        <v/>
      </c>
      <c r="P313" s="9"/>
      <c r="Q313" s="9" t="str">
        <f>IF($A313="","",IF($O313="", "", ROUND($O313*Settings!$B$2+Settings!$B$3,2)))</f>
        <v/>
      </c>
      <c r="R313" s="9" t="str">
        <f>IF($A313="","",IF($L313="", "", Settings!$B$4))</f>
        <v/>
      </c>
      <c r="S313" s="9" t="str">
        <f t="shared" si="38"/>
        <v/>
      </c>
      <c r="T313" s="9" t="str">
        <f t="shared" si="39"/>
        <v/>
      </c>
      <c r="U313" s="9" t="str">
        <f>IF($A313="","",IF($K313="", "", ROUND((($K313 + Settings!$B$3 + $R313) - IF($M313="",0,$M313))/(1-Settings!$B$2),2)))</f>
        <v/>
      </c>
      <c r="V313" s="9" t="str">
        <f>IF($A313="","",$L313-($L313*Settings!$B$2)-$J313-($B313+SUM($D313:$I313)))</f>
        <v/>
      </c>
      <c r="W313" s="9" t="str">
        <f>IF($A313="","",(($B313+SUM($D313:$I313)+$J313+Settings!$B$3)/(1-Settings!$B$2))-$M313)</f>
        <v/>
      </c>
      <c r="X313" s="10" t="str">
        <f t="shared" si="40"/>
        <v/>
      </c>
      <c r="Y313" s="10" t="str">
        <f t="shared" si="41"/>
        <v/>
      </c>
      <c r="Z313" s="10" t="str">
        <f t="shared" si="42"/>
        <v/>
      </c>
      <c r="AA313" s="10" t="str">
        <f t="shared" si="43"/>
        <v/>
      </c>
      <c r="AC313" s="11"/>
      <c r="AD313" s="11"/>
      <c r="AE313" s="12" t="str">
        <f t="shared" si="44"/>
        <v/>
      </c>
    </row>
    <row r="314" spans="2:31" x14ac:dyDescent="0.25">
      <c r="B314" s="9"/>
      <c r="C314" t="s">
        <v>31</v>
      </c>
      <c r="D314" s="9" t="str">
        <f>IF($A314="","",1*'Material Costs'!$D$3)</f>
        <v/>
      </c>
      <c r="E314" s="9" t="str">
        <f>IF($A314="","",1*'Material Costs'!$D$2)</f>
        <v/>
      </c>
      <c r="F314" s="9" t="str">
        <f>IF($A314="","",IF($C314="Bubble Mailer",2,1)*'Material Costs'!$D$6)</f>
        <v/>
      </c>
      <c r="G314" s="9" t="str">
        <f>IF($A314="","",1*'Material Costs'!$D$7)</f>
        <v/>
      </c>
      <c r="H314" s="9" t="str">
        <f>IF($A314="","",IF($C314="Bubble Mailer",1,0)*'Material Costs'!$D$5)</f>
        <v/>
      </c>
      <c r="I314" s="9" t="str">
        <f>IF($A314="","",IF($C314="ESE (Ding Defend)",1,0)*'Material Costs'!$D$4)</f>
        <v/>
      </c>
      <c r="J314" s="9"/>
      <c r="K314" s="9" t="str">
        <f t="shared" si="36"/>
        <v/>
      </c>
      <c r="L314" s="9"/>
      <c r="M314" s="9"/>
      <c r="N314" s="9"/>
      <c r="O314" s="9" t="str">
        <f t="shared" si="37"/>
        <v/>
      </c>
      <c r="P314" s="9"/>
      <c r="Q314" s="9" t="str">
        <f>IF($A314="","",IF($O314="", "", ROUND($O314*Settings!$B$2+Settings!$B$3,2)))</f>
        <v/>
      </c>
      <c r="R314" s="9" t="str">
        <f>IF($A314="","",IF($L314="", "", Settings!$B$4))</f>
        <v/>
      </c>
      <c r="S314" s="9" t="str">
        <f t="shared" si="38"/>
        <v/>
      </c>
      <c r="T314" s="9" t="str">
        <f t="shared" si="39"/>
        <v/>
      </c>
      <c r="U314" s="9" t="str">
        <f>IF($A314="","",IF($K314="", "", ROUND((($K314 + Settings!$B$3 + $R314) - IF($M314="",0,$M314))/(1-Settings!$B$2),2)))</f>
        <v/>
      </c>
      <c r="V314" s="9" t="str">
        <f>IF($A314="","",$L314-($L314*Settings!$B$2)-$J314-($B314+SUM($D314:$I314)))</f>
        <v/>
      </c>
      <c r="W314" s="9" t="str">
        <f>IF($A314="","",(($B314+SUM($D314:$I314)+$J314+Settings!$B$3)/(1-Settings!$B$2))-$M314)</f>
        <v/>
      </c>
      <c r="X314" s="10" t="str">
        <f t="shared" si="40"/>
        <v/>
      </c>
      <c r="Y314" s="10" t="str">
        <f t="shared" si="41"/>
        <v/>
      </c>
      <c r="Z314" s="10" t="str">
        <f t="shared" si="42"/>
        <v/>
      </c>
      <c r="AA314" s="10" t="str">
        <f t="shared" si="43"/>
        <v/>
      </c>
      <c r="AC314" s="11"/>
      <c r="AD314" s="11"/>
      <c r="AE314" s="12" t="str">
        <f t="shared" si="44"/>
        <v/>
      </c>
    </row>
    <row r="315" spans="2:31" x14ac:dyDescent="0.25">
      <c r="B315" s="9"/>
      <c r="C315" t="s">
        <v>31</v>
      </c>
      <c r="D315" s="9" t="str">
        <f>IF($A315="","",1*'Material Costs'!$D$3)</f>
        <v/>
      </c>
      <c r="E315" s="9" t="str">
        <f>IF($A315="","",1*'Material Costs'!$D$2)</f>
        <v/>
      </c>
      <c r="F315" s="9" t="str">
        <f>IF($A315="","",IF($C315="Bubble Mailer",2,1)*'Material Costs'!$D$6)</f>
        <v/>
      </c>
      <c r="G315" s="9" t="str">
        <f>IF($A315="","",1*'Material Costs'!$D$7)</f>
        <v/>
      </c>
      <c r="H315" s="9" t="str">
        <f>IF($A315="","",IF($C315="Bubble Mailer",1,0)*'Material Costs'!$D$5)</f>
        <v/>
      </c>
      <c r="I315" s="9" t="str">
        <f>IF($A315="","",IF($C315="ESE (Ding Defend)",1,0)*'Material Costs'!$D$4)</f>
        <v/>
      </c>
      <c r="J315" s="9"/>
      <c r="K315" s="9" t="str">
        <f t="shared" si="36"/>
        <v/>
      </c>
      <c r="L315" s="9"/>
      <c r="M315" s="9"/>
      <c r="N315" s="9"/>
      <c r="O315" s="9" t="str">
        <f t="shared" si="37"/>
        <v/>
      </c>
      <c r="P315" s="9"/>
      <c r="Q315" s="9" t="str">
        <f>IF($A315="","",IF($O315="", "", ROUND($O315*Settings!$B$2+Settings!$B$3,2)))</f>
        <v/>
      </c>
      <c r="R315" s="9" t="str">
        <f>IF($A315="","",IF($L315="", "", Settings!$B$4))</f>
        <v/>
      </c>
      <c r="S315" s="9" t="str">
        <f t="shared" si="38"/>
        <v/>
      </c>
      <c r="T315" s="9" t="str">
        <f t="shared" si="39"/>
        <v/>
      </c>
      <c r="U315" s="9" t="str">
        <f>IF($A315="","",IF($K315="", "", ROUND((($K315 + Settings!$B$3 + $R315) - IF($M315="",0,$M315))/(1-Settings!$B$2),2)))</f>
        <v/>
      </c>
      <c r="V315" s="9" t="str">
        <f>IF($A315="","",$L315-($L315*Settings!$B$2)-$J315-($B315+SUM($D315:$I315)))</f>
        <v/>
      </c>
      <c r="W315" s="9" t="str">
        <f>IF($A315="","",(($B315+SUM($D315:$I315)+$J315+Settings!$B$3)/(1-Settings!$B$2))-$M315)</f>
        <v/>
      </c>
      <c r="X315" s="10" t="str">
        <f t="shared" si="40"/>
        <v/>
      </c>
      <c r="Y315" s="10" t="str">
        <f t="shared" si="41"/>
        <v/>
      </c>
      <c r="Z315" s="10" t="str">
        <f t="shared" si="42"/>
        <v/>
      </c>
      <c r="AA315" s="10" t="str">
        <f t="shared" si="43"/>
        <v/>
      </c>
      <c r="AC315" s="11"/>
      <c r="AD315" s="11"/>
      <c r="AE315" s="12" t="str">
        <f t="shared" si="44"/>
        <v/>
      </c>
    </row>
    <row r="316" spans="2:31" x14ac:dyDescent="0.25">
      <c r="B316" s="9"/>
      <c r="C316" t="s">
        <v>31</v>
      </c>
      <c r="D316" s="9" t="str">
        <f>IF($A316="","",1*'Material Costs'!$D$3)</f>
        <v/>
      </c>
      <c r="E316" s="9" t="str">
        <f>IF($A316="","",1*'Material Costs'!$D$2)</f>
        <v/>
      </c>
      <c r="F316" s="9" t="str">
        <f>IF($A316="","",IF($C316="Bubble Mailer",2,1)*'Material Costs'!$D$6)</f>
        <v/>
      </c>
      <c r="G316" s="9" t="str">
        <f>IF($A316="","",1*'Material Costs'!$D$7)</f>
        <v/>
      </c>
      <c r="H316" s="9" t="str">
        <f>IF($A316="","",IF($C316="Bubble Mailer",1,0)*'Material Costs'!$D$5)</f>
        <v/>
      </c>
      <c r="I316" s="9" t="str">
        <f>IF($A316="","",IF($C316="ESE (Ding Defend)",1,0)*'Material Costs'!$D$4)</f>
        <v/>
      </c>
      <c r="J316" s="9"/>
      <c r="K316" s="9" t="str">
        <f t="shared" si="36"/>
        <v/>
      </c>
      <c r="L316" s="9"/>
      <c r="M316" s="9"/>
      <c r="N316" s="9"/>
      <c r="O316" s="9" t="str">
        <f t="shared" si="37"/>
        <v/>
      </c>
      <c r="P316" s="9"/>
      <c r="Q316" s="9" t="str">
        <f>IF($A316="","",IF($O316="", "", ROUND($O316*Settings!$B$2+Settings!$B$3,2)))</f>
        <v/>
      </c>
      <c r="R316" s="9" t="str">
        <f>IF($A316="","",IF($L316="", "", Settings!$B$4))</f>
        <v/>
      </c>
      <c r="S316" s="9" t="str">
        <f t="shared" si="38"/>
        <v/>
      </c>
      <c r="T316" s="9" t="str">
        <f t="shared" si="39"/>
        <v/>
      </c>
      <c r="U316" s="9" t="str">
        <f>IF($A316="","",IF($K316="", "", ROUND((($K316 + Settings!$B$3 + $R316) - IF($M316="",0,$M316))/(1-Settings!$B$2),2)))</f>
        <v/>
      </c>
      <c r="V316" s="9" t="str">
        <f>IF($A316="","",$L316-($L316*Settings!$B$2)-$J316-($B316+SUM($D316:$I316)))</f>
        <v/>
      </c>
      <c r="W316" s="9" t="str">
        <f>IF($A316="","",(($B316+SUM($D316:$I316)+$J316+Settings!$B$3)/(1-Settings!$B$2))-$M316)</f>
        <v/>
      </c>
      <c r="X316" s="10" t="str">
        <f t="shared" si="40"/>
        <v/>
      </c>
      <c r="Y316" s="10" t="str">
        <f t="shared" si="41"/>
        <v/>
      </c>
      <c r="Z316" s="10" t="str">
        <f t="shared" si="42"/>
        <v/>
      </c>
      <c r="AA316" s="10" t="str">
        <f t="shared" si="43"/>
        <v/>
      </c>
      <c r="AC316" s="11"/>
      <c r="AD316" s="11"/>
      <c r="AE316" s="12" t="str">
        <f t="shared" si="44"/>
        <v/>
      </c>
    </row>
    <row r="317" spans="2:31" x14ac:dyDescent="0.25">
      <c r="B317" s="9"/>
      <c r="C317" t="s">
        <v>31</v>
      </c>
      <c r="D317" s="9" t="str">
        <f>IF($A317="","",1*'Material Costs'!$D$3)</f>
        <v/>
      </c>
      <c r="E317" s="9" t="str">
        <f>IF($A317="","",1*'Material Costs'!$D$2)</f>
        <v/>
      </c>
      <c r="F317" s="9" t="str">
        <f>IF($A317="","",IF($C317="Bubble Mailer",2,1)*'Material Costs'!$D$6)</f>
        <v/>
      </c>
      <c r="G317" s="9" t="str">
        <f>IF($A317="","",1*'Material Costs'!$D$7)</f>
        <v/>
      </c>
      <c r="H317" s="9" t="str">
        <f>IF($A317="","",IF($C317="Bubble Mailer",1,0)*'Material Costs'!$D$5)</f>
        <v/>
      </c>
      <c r="I317" s="9" t="str">
        <f>IF($A317="","",IF($C317="ESE (Ding Defend)",1,0)*'Material Costs'!$D$4)</f>
        <v/>
      </c>
      <c r="J317" s="9"/>
      <c r="K317" s="9" t="str">
        <f t="shared" si="36"/>
        <v/>
      </c>
      <c r="L317" s="9"/>
      <c r="M317" s="9"/>
      <c r="N317" s="9"/>
      <c r="O317" s="9" t="str">
        <f t="shared" si="37"/>
        <v/>
      </c>
      <c r="P317" s="9"/>
      <c r="Q317" s="9" t="str">
        <f>IF($A317="","",IF($O317="", "", ROUND($O317*Settings!$B$2+Settings!$B$3,2)))</f>
        <v/>
      </c>
      <c r="R317" s="9" t="str">
        <f>IF($A317="","",IF($L317="", "", Settings!$B$4))</f>
        <v/>
      </c>
      <c r="S317" s="9" t="str">
        <f t="shared" si="38"/>
        <v/>
      </c>
      <c r="T317" s="9" t="str">
        <f t="shared" si="39"/>
        <v/>
      </c>
      <c r="U317" s="9" t="str">
        <f>IF($A317="","",IF($K317="", "", ROUND((($K317 + Settings!$B$3 + $R317) - IF($M317="",0,$M317))/(1-Settings!$B$2),2)))</f>
        <v/>
      </c>
      <c r="V317" s="9" t="str">
        <f>IF($A317="","",$L317-($L317*Settings!$B$2)-$J317-($B317+SUM($D317:$I317)))</f>
        <v/>
      </c>
      <c r="W317" s="9" t="str">
        <f>IF($A317="","",(($B317+SUM($D317:$I317)+$J317+Settings!$B$3)/(1-Settings!$B$2))-$M317)</f>
        <v/>
      </c>
      <c r="X317" s="10" t="str">
        <f t="shared" si="40"/>
        <v/>
      </c>
      <c r="Y317" s="10" t="str">
        <f t="shared" si="41"/>
        <v/>
      </c>
      <c r="Z317" s="10" t="str">
        <f t="shared" si="42"/>
        <v/>
      </c>
      <c r="AA317" s="10" t="str">
        <f t="shared" si="43"/>
        <v/>
      </c>
      <c r="AC317" s="11"/>
      <c r="AD317" s="11"/>
      <c r="AE317" s="12" t="str">
        <f t="shared" si="44"/>
        <v/>
      </c>
    </row>
    <row r="318" spans="2:31" x14ac:dyDescent="0.25">
      <c r="B318" s="9"/>
      <c r="C318" t="s">
        <v>31</v>
      </c>
      <c r="D318" s="9" t="str">
        <f>IF($A318="","",1*'Material Costs'!$D$3)</f>
        <v/>
      </c>
      <c r="E318" s="9" t="str">
        <f>IF($A318="","",1*'Material Costs'!$D$2)</f>
        <v/>
      </c>
      <c r="F318" s="9" t="str">
        <f>IF($A318="","",IF($C318="Bubble Mailer",2,1)*'Material Costs'!$D$6)</f>
        <v/>
      </c>
      <c r="G318" s="9" t="str">
        <f>IF($A318="","",1*'Material Costs'!$D$7)</f>
        <v/>
      </c>
      <c r="H318" s="9" t="str">
        <f>IF($A318="","",IF($C318="Bubble Mailer",1,0)*'Material Costs'!$D$5)</f>
        <v/>
      </c>
      <c r="I318" s="9" t="str">
        <f>IF($A318="","",IF($C318="ESE (Ding Defend)",1,0)*'Material Costs'!$D$4)</f>
        <v/>
      </c>
      <c r="J318" s="9"/>
      <c r="K318" s="9" t="str">
        <f t="shared" si="36"/>
        <v/>
      </c>
      <c r="L318" s="9"/>
      <c r="M318" s="9"/>
      <c r="N318" s="9"/>
      <c r="O318" s="9" t="str">
        <f t="shared" si="37"/>
        <v/>
      </c>
      <c r="P318" s="9"/>
      <c r="Q318" s="9" t="str">
        <f>IF($A318="","",IF($O318="", "", ROUND($O318*Settings!$B$2+Settings!$B$3,2)))</f>
        <v/>
      </c>
      <c r="R318" s="9" t="str">
        <f>IF($A318="","",IF($L318="", "", Settings!$B$4))</f>
        <v/>
      </c>
      <c r="S318" s="9" t="str">
        <f t="shared" si="38"/>
        <v/>
      </c>
      <c r="T318" s="9" t="str">
        <f t="shared" si="39"/>
        <v/>
      </c>
      <c r="U318" s="9" t="str">
        <f>IF($A318="","",IF($K318="", "", ROUND((($K318 + Settings!$B$3 + $R318) - IF($M318="",0,$M318))/(1-Settings!$B$2),2)))</f>
        <v/>
      </c>
      <c r="V318" s="9" t="str">
        <f>IF($A318="","",$L318-($L318*Settings!$B$2)-$J318-($B318+SUM($D318:$I318)))</f>
        <v/>
      </c>
      <c r="W318" s="9" t="str">
        <f>IF($A318="","",(($B318+SUM($D318:$I318)+$J318+Settings!$B$3)/(1-Settings!$B$2))-$M318)</f>
        <v/>
      </c>
      <c r="X318" s="10" t="str">
        <f t="shared" si="40"/>
        <v/>
      </c>
      <c r="Y318" s="10" t="str">
        <f t="shared" si="41"/>
        <v/>
      </c>
      <c r="Z318" s="10" t="str">
        <f t="shared" si="42"/>
        <v/>
      </c>
      <c r="AA318" s="10" t="str">
        <f t="shared" si="43"/>
        <v/>
      </c>
      <c r="AC318" s="11"/>
      <c r="AD318" s="11"/>
      <c r="AE318" s="12" t="str">
        <f t="shared" si="44"/>
        <v/>
      </c>
    </row>
    <row r="319" spans="2:31" x14ac:dyDescent="0.25">
      <c r="B319" s="9"/>
      <c r="C319" t="s">
        <v>31</v>
      </c>
      <c r="D319" s="9" t="str">
        <f>IF($A319="","",1*'Material Costs'!$D$3)</f>
        <v/>
      </c>
      <c r="E319" s="9" t="str">
        <f>IF($A319="","",1*'Material Costs'!$D$2)</f>
        <v/>
      </c>
      <c r="F319" s="9" t="str">
        <f>IF($A319="","",IF($C319="Bubble Mailer",2,1)*'Material Costs'!$D$6)</f>
        <v/>
      </c>
      <c r="G319" s="9" t="str">
        <f>IF($A319="","",1*'Material Costs'!$D$7)</f>
        <v/>
      </c>
      <c r="H319" s="9" t="str">
        <f>IF($A319="","",IF($C319="Bubble Mailer",1,0)*'Material Costs'!$D$5)</f>
        <v/>
      </c>
      <c r="I319" s="9" t="str">
        <f>IF($A319="","",IF($C319="ESE (Ding Defend)",1,0)*'Material Costs'!$D$4)</f>
        <v/>
      </c>
      <c r="J319" s="9"/>
      <c r="K319" s="9" t="str">
        <f t="shared" si="36"/>
        <v/>
      </c>
      <c r="L319" s="9"/>
      <c r="M319" s="9"/>
      <c r="N319" s="9"/>
      <c r="O319" s="9" t="str">
        <f t="shared" si="37"/>
        <v/>
      </c>
      <c r="P319" s="9"/>
      <c r="Q319" s="9" t="str">
        <f>IF($A319="","",IF($O319="", "", ROUND($O319*Settings!$B$2+Settings!$B$3,2)))</f>
        <v/>
      </c>
      <c r="R319" s="9" t="str">
        <f>IF($A319="","",IF($L319="", "", Settings!$B$4))</f>
        <v/>
      </c>
      <c r="S319" s="9" t="str">
        <f t="shared" si="38"/>
        <v/>
      </c>
      <c r="T319" s="9" t="str">
        <f t="shared" si="39"/>
        <v/>
      </c>
      <c r="U319" s="9" t="str">
        <f>IF($A319="","",IF($K319="", "", ROUND((($K319 + Settings!$B$3 + $R319) - IF($M319="",0,$M319))/(1-Settings!$B$2),2)))</f>
        <v/>
      </c>
      <c r="V319" s="9" t="str">
        <f>IF($A319="","",$L319-($L319*Settings!$B$2)-$J319-($B319+SUM($D319:$I319)))</f>
        <v/>
      </c>
      <c r="W319" s="9" t="str">
        <f>IF($A319="","",(($B319+SUM($D319:$I319)+$J319+Settings!$B$3)/(1-Settings!$B$2))-$M319)</f>
        <v/>
      </c>
      <c r="X319" s="10" t="str">
        <f t="shared" si="40"/>
        <v/>
      </c>
      <c r="Y319" s="10" t="str">
        <f t="shared" si="41"/>
        <v/>
      </c>
      <c r="Z319" s="10" t="str">
        <f t="shared" si="42"/>
        <v/>
      </c>
      <c r="AA319" s="10" t="str">
        <f t="shared" si="43"/>
        <v/>
      </c>
      <c r="AC319" s="11"/>
      <c r="AD319" s="11"/>
      <c r="AE319" s="12" t="str">
        <f t="shared" si="44"/>
        <v/>
      </c>
    </row>
    <row r="320" spans="2:31" x14ac:dyDescent="0.25">
      <c r="B320" s="9"/>
      <c r="C320" t="s">
        <v>31</v>
      </c>
      <c r="D320" s="9" t="str">
        <f>IF($A320="","",1*'Material Costs'!$D$3)</f>
        <v/>
      </c>
      <c r="E320" s="9" t="str">
        <f>IF($A320="","",1*'Material Costs'!$D$2)</f>
        <v/>
      </c>
      <c r="F320" s="9" t="str">
        <f>IF($A320="","",IF($C320="Bubble Mailer",2,1)*'Material Costs'!$D$6)</f>
        <v/>
      </c>
      <c r="G320" s="9" t="str">
        <f>IF($A320="","",1*'Material Costs'!$D$7)</f>
        <v/>
      </c>
      <c r="H320" s="9" t="str">
        <f>IF($A320="","",IF($C320="Bubble Mailer",1,0)*'Material Costs'!$D$5)</f>
        <v/>
      </c>
      <c r="I320" s="9" t="str">
        <f>IF($A320="","",IF($C320="ESE (Ding Defend)",1,0)*'Material Costs'!$D$4)</f>
        <v/>
      </c>
      <c r="J320" s="9"/>
      <c r="K320" s="9" t="str">
        <f t="shared" si="36"/>
        <v/>
      </c>
      <c r="L320" s="9"/>
      <c r="M320" s="9"/>
      <c r="N320" s="9"/>
      <c r="O320" s="9" t="str">
        <f t="shared" si="37"/>
        <v/>
      </c>
      <c r="P320" s="9"/>
      <c r="Q320" s="9" t="str">
        <f>IF($A320="","",IF($O320="", "", ROUND($O320*Settings!$B$2+Settings!$B$3,2)))</f>
        <v/>
      </c>
      <c r="R320" s="9" t="str">
        <f>IF($A320="","",IF($L320="", "", Settings!$B$4))</f>
        <v/>
      </c>
      <c r="S320" s="9" t="str">
        <f t="shared" si="38"/>
        <v/>
      </c>
      <c r="T320" s="9" t="str">
        <f t="shared" si="39"/>
        <v/>
      </c>
      <c r="U320" s="9" t="str">
        <f>IF($A320="","",IF($K320="", "", ROUND((($K320 + Settings!$B$3 + $R320) - IF($M320="",0,$M320))/(1-Settings!$B$2),2)))</f>
        <v/>
      </c>
      <c r="V320" s="9" t="str">
        <f>IF($A320="","",$L320-($L320*Settings!$B$2)-$J320-($B320+SUM($D320:$I320)))</f>
        <v/>
      </c>
      <c r="W320" s="9" t="str">
        <f>IF($A320="","",(($B320+SUM($D320:$I320)+$J320+Settings!$B$3)/(1-Settings!$B$2))-$M320)</f>
        <v/>
      </c>
      <c r="X320" s="10" t="str">
        <f t="shared" si="40"/>
        <v/>
      </c>
      <c r="Y320" s="10" t="str">
        <f t="shared" si="41"/>
        <v/>
      </c>
      <c r="Z320" s="10" t="str">
        <f t="shared" si="42"/>
        <v/>
      </c>
      <c r="AA320" s="10" t="str">
        <f t="shared" si="43"/>
        <v/>
      </c>
      <c r="AC320" s="11"/>
      <c r="AD320" s="11"/>
      <c r="AE320" s="12" t="str">
        <f t="shared" si="44"/>
        <v/>
      </c>
    </row>
    <row r="321" spans="2:31" x14ac:dyDescent="0.25">
      <c r="B321" s="9"/>
      <c r="C321" t="s">
        <v>31</v>
      </c>
      <c r="D321" s="9" t="str">
        <f>IF($A321="","",1*'Material Costs'!$D$3)</f>
        <v/>
      </c>
      <c r="E321" s="9" t="str">
        <f>IF($A321="","",1*'Material Costs'!$D$2)</f>
        <v/>
      </c>
      <c r="F321" s="9" t="str">
        <f>IF($A321="","",IF($C321="Bubble Mailer",2,1)*'Material Costs'!$D$6)</f>
        <v/>
      </c>
      <c r="G321" s="9" t="str">
        <f>IF($A321="","",1*'Material Costs'!$D$7)</f>
        <v/>
      </c>
      <c r="H321" s="9" t="str">
        <f>IF($A321="","",IF($C321="Bubble Mailer",1,0)*'Material Costs'!$D$5)</f>
        <v/>
      </c>
      <c r="I321" s="9" t="str">
        <f>IF($A321="","",IF($C321="ESE (Ding Defend)",1,0)*'Material Costs'!$D$4)</f>
        <v/>
      </c>
      <c r="J321" s="9"/>
      <c r="K321" s="9" t="str">
        <f t="shared" ref="K321:K384" si="45">IF($A321="","",SUM($B321:$J321))</f>
        <v/>
      </c>
      <c r="L321" s="9"/>
      <c r="M321" s="9"/>
      <c r="N321" s="9"/>
      <c r="O321" s="9" t="str">
        <f t="shared" ref="O321:O384" si="46">IF($A321="","",SUM($L321:$N321))</f>
        <v/>
      </c>
      <c r="P321" s="9"/>
      <c r="Q321" s="9" t="str">
        <f>IF($A321="","",IF($O321="", "", ROUND($O321*Settings!$B$2+Settings!$B$3,2)))</f>
        <v/>
      </c>
      <c r="R321" s="9" t="str">
        <f>IF($A321="","",IF($L321="", "", Settings!$B$4))</f>
        <v/>
      </c>
      <c r="S321" s="9" t="str">
        <f t="shared" ref="S321:S384" si="47">IF($A321="","",IF($O321="", "", ROUND($O321 - IF($P321&lt;&gt;"",$P321,$Q321) - $R321,2)))</f>
        <v/>
      </c>
      <c r="T321" s="9" t="str">
        <f t="shared" ref="T321:T384" si="48">IF($A321="","",IF($S321="", "", ROUND($S321 - $K321,2)))</f>
        <v/>
      </c>
      <c r="U321" s="9" t="str">
        <f>IF($A321="","",IF($K321="", "", ROUND((($K321 + Settings!$B$3 + $R321) - IF($M321="",0,$M321))/(1-Settings!$B$2),2)))</f>
        <v/>
      </c>
      <c r="V321" s="9" t="str">
        <f>IF($A321="","",$L321-($L321*Settings!$B$2)-$J321-($B321+SUM($D321:$I321)))</f>
        <v/>
      </c>
      <c r="W321" s="9" t="str">
        <f>IF($A321="","",(($B321+SUM($D321:$I321)+$J321+Settings!$B$3)/(1-Settings!$B$2))-$M321)</f>
        <v/>
      </c>
      <c r="X321" s="10" t="str">
        <f t="shared" ref="X321:X384" si="49">IF($A321="","",IF($O321="", "", IFERROR($T321/$O321, "")))</f>
        <v/>
      </c>
      <c r="Y321" s="10" t="str">
        <f t="shared" ref="Y321:Y384" si="50">IF($A321="","",IF($K321="", "", IFERROR($T321/$K321, "")))</f>
        <v/>
      </c>
      <c r="Z321" s="10" t="str">
        <f t="shared" ref="Z321:Z384" si="51">IF($A321="","",IF($O321="", "", IFERROR($Q321/$O321, "")))</f>
        <v/>
      </c>
      <c r="AA321" s="10" t="str">
        <f t="shared" ref="AA321:AA384" si="52">IF($A321="","",IF($L321="", "", IFERROR($T321/$L321, "")))</f>
        <v/>
      </c>
      <c r="AC321" s="11"/>
      <c r="AD321" s="11"/>
      <c r="AE321" s="12" t="str">
        <f t="shared" ref="AE321:AE384" si="53">IF($A321="","",IF(OR($AC321="", $AD321=""),"", $AD321-$AC321))</f>
        <v/>
      </c>
    </row>
    <row r="322" spans="2:31" x14ac:dyDescent="0.25">
      <c r="B322" s="9"/>
      <c r="C322" t="s">
        <v>31</v>
      </c>
      <c r="D322" s="9" t="str">
        <f>IF($A322="","",1*'Material Costs'!$D$3)</f>
        <v/>
      </c>
      <c r="E322" s="9" t="str">
        <f>IF($A322="","",1*'Material Costs'!$D$2)</f>
        <v/>
      </c>
      <c r="F322" s="9" t="str">
        <f>IF($A322="","",IF($C322="Bubble Mailer",2,1)*'Material Costs'!$D$6)</f>
        <v/>
      </c>
      <c r="G322" s="9" t="str">
        <f>IF($A322="","",1*'Material Costs'!$D$7)</f>
        <v/>
      </c>
      <c r="H322" s="9" t="str">
        <f>IF($A322="","",IF($C322="Bubble Mailer",1,0)*'Material Costs'!$D$5)</f>
        <v/>
      </c>
      <c r="I322" s="9" t="str">
        <f>IF($A322="","",IF($C322="ESE (Ding Defend)",1,0)*'Material Costs'!$D$4)</f>
        <v/>
      </c>
      <c r="J322" s="9"/>
      <c r="K322" s="9" t="str">
        <f t="shared" si="45"/>
        <v/>
      </c>
      <c r="L322" s="9"/>
      <c r="M322" s="9"/>
      <c r="N322" s="9"/>
      <c r="O322" s="9" t="str">
        <f t="shared" si="46"/>
        <v/>
      </c>
      <c r="P322" s="9"/>
      <c r="Q322" s="9" t="str">
        <f>IF($A322="","",IF($O322="", "", ROUND($O322*Settings!$B$2+Settings!$B$3,2)))</f>
        <v/>
      </c>
      <c r="R322" s="9" t="str">
        <f>IF($A322="","",IF($L322="", "", Settings!$B$4))</f>
        <v/>
      </c>
      <c r="S322" s="9" t="str">
        <f t="shared" si="47"/>
        <v/>
      </c>
      <c r="T322" s="9" t="str">
        <f t="shared" si="48"/>
        <v/>
      </c>
      <c r="U322" s="9" t="str">
        <f>IF($A322="","",IF($K322="", "", ROUND((($K322 + Settings!$B$3 + $R322) - IF($M322="",0,$M322))/(1-Settings!$B$2),2)))</f>
        <v/>
      </c>
      <c r="V322" s="9" t="str">
        <f>IF($A322="","",$L322-($L322*Settings!$B$2)-$J322-($B322+SUM($D322:$I322)))</f>
        <v/>
      </c>
      <c r="W322" s="9" t="str">
        <f>IF($A322="","",(($B322+SUM($D322:$I322)+$J322+Settings!$B$3)/(1-Settings!$B$2))-$M322)</f>
        <v/>
      </c>
      <c r="X322" s="10" t="str">
        <f t="shared" si="49"/>
        <v/>
      </c>
      <c r="Y322" s="10" t="str">
        <f t="shared" si="50"/>
        <v/>
      </c>
      <c r="Z322" s="10" t="str">
        <f t="shared" si="51"/>
        <v/>
      </c>
      <c r="AA322" s="10" t="str">
        <f t="shared" si="52"/>
        <v/>
      </c>
      <c r="AC322" s="11"/>
      <c r="AD322" s="11"/>
      <c r="AE322" s="12" t="str">
        <f t="shared" si="53"/>
        <v/>
      </c>
    </row>
    <row r="323" spans="2:31" x14ac:dyDescent="0.25">
      <c r="B323" s="9"/>
      <c r="C323" t="s">
        <v>31</v>
      </c>
      <c r="D323" s="9" t="str">
        <f>IF($A323="","",1*'Material Costs'!$D$3)</f>
        <v/>
      </c>
      <c r="E323" s="9" t="str">
        <f>IF($A323="","",1*'Material Costs'!$D$2)</f>
        <v/>
      </c>
      <c r="F323" s="9" t="str">
        <f>IF($A323="","",IF($C323="Bubble Mailer",2,1)*'Material Costs'!$D$6)</f>
        <v/>
      </c>
      <c r="G323" s="9" t="str">
        <f>IF($A323="","",1*'Material Costs'!$D$7)</f>
        <v/>
      </c>
      <c r="H323" s="9" t="str">
        <f>IF($A323="","",IF($C323="Bubble Mailer",1,0)*'Material Costs'!$D$5)</f>
        <v/>
      </c>
      <c r="I323" s="9" t="str">
        <f>IF($A323="","",IF($C323="ESE (Ding Defend)",1,0)*'Material Costs'!$D$4)</f>
        <v/>
      </c>
      <c r="J323" s="9"/>
      <c r="K323" s="9" t="str">
        <f t="shared" si="45"/>
        <v/>
      </c>
      <c r="L323" s="9"/>
      <c r="M323" s="9"/>
      <c r="N323" s="9"/>
      <c r="O323" s="9" t="str">
        <f t="shared" si="46"/>
        <v/>
      </c>
      <c r="P323" s="9"/>
      <c r="Q323" s="9" t="str">
        <f>IF($A323="","",IF($O323="", "", ROUND($O323*Settings!$B$2+Settings!$B$3,2)))</f>
        <v/>
      </c>
      <c r="R323" s="9" t="str">
        <f>IF($A323="","",IF($L323="", "", Settings!$B$4))</f>
        <v/>
      </c>
      <c r="S323" s="9" t="str">
        <f t="shared" si="47"/>
        <v/>
      </c>
      <c r="T323" s="9" t="str">
        <f t="shared" si="48"/>
        <v/>
      </c>
      <c r="U323" s="9" t="str">
        <f>IF($A323="","",IF($K323="", "", ROUND((($K323 + Settings!$B$3 + $R323) - IF($M323="",0,$M323))/(1-Settings!$B$2),2)))</f>
        <v/>
      </c>
      <c r="V323" s="9" t="str">
        <f>IF($A323="","",$L323-($L323*Settings!$B$2)-$J323-($B323+SUM($D323:$I323)))</f>
        <v/>
      </c>
      <c r="W323" s="9" t="str">
        <f>IF($A323="","",(($B323+SUM($D323:$I323)+$J323+Settings!$B$3)/(1-Settings!$B$2))-$M323)</f>
        <v/>
      </c>
      <c r="X323" s="10" t="str">
        <f t="shared" si="49"/>
        <v/>
      </c>
      <c r="Y323" s="10" t="str">
        <f t="shared" si="50"/>
        <v/>
      </c>
      <c r="Z323" s="10" t="str">
        <f t="shared" si="51"/>
        <v/>
      </c>
      <c r="AA323" s="10" t="str">
        <f t="shared" si="52"/>
        <v/>
      </c>
      <c r="AC323" s="11"/>
      <c r="AD323" s="11"/>
      <c r="AE323" s="12" t="str">
        <f t="shared" si="53"/>
        <v/>
      </c>
    </row>
    <row r="324" spans="2:31" x14ac:dyDescent="0.25">
      <c r="B324" s="9"/>
      <c r="C324" t="s">
        <v>31</v>
      </c>
      <c r="D324" s="9" t="str">
        <f>IF($A324="","",1*'Material Costs'!$D$3)</f>
        <v/>
      </c>
      <c r="E324" s="9" t="str">
        <f>IF($A324="","",1*'Material Costs'!$D$2)</f>
        <v/>
      </c>
      <c r="F324" s="9" t="str">
        <f>IF($A324="","",IF($C324="Bubble Mailer",2,1)*'Material Costs'!$D$6)</f>
        <v/>
      </c>
      <c r="G324" s="9" t="str">
        <f>IF($A324="","",1*'Material Costs'!$D$7)</f>
        <v/>
      </c>
      <c r="H324" s="9" t="str">
        <f>IF($A324="","",IF($C324="Bubble Mailer",1,0)*'Material Costs'!$D$5)</f>
        <v/>
      </c>
      <c r="I324" s="9" t="str">
        <f>IF($A324="","",IF($C324="ESE (Ding Defend)",1,0)*'Material Costs'!$D$4)</f>
        <v/>
      </c>
      <c r="J324" s="9"/>
      <c r="K324" s="9" t="str">
        <f t="shared" si="45"/>
        <v/>
      </c>
      <c r="L324" s="9"/>
      <c r="M324" s="9"/>
      <c r="N324" s="9"/>
      <c r="O324" s="9" t="str">
        <f t="shared" si="46"/>
        <v/>
      </c>
      <c r="P324" s="9"/>
      <c r="Q324" s="9" t="str">
        <f>IF($A324="","",IF($O324="", "", ROUND($O324*Settings!$B$2+Settings!$B$3,2)))</f>
        <v/>
      </c>
      <c r="R324" s="9" t="str">
        <f>IF($A324="","",IF($L324="", "", Settings!$B$4))</f>
        <v/>
      </c>
      <c r="S324" s="9" t="str">
        <f t="shared" si="47"/>
        <v/>
      </c>
      <c r="T324" s="9" t="str">
        <f t="shared" si="48"/>
        <v/>
      </c>
      <c r="U324" s="9" t="str">
        <f>IF($A324="","",IF($K324="", "", ROUND((($K324 + Settings!$B$3 + $R324) - IF($M324="",0,$M324))/(1-Settings!$B$2),2)))</f>
        <v/>
      </c>
      <c r="V324" s="9" t="str">
        <f>IF($A324="","",$L324-($L324*Settings!$B$2)-$J324-($B324+SUM($D324:$I324)))</f>
        <v/>
      </c>
      <c r="W324" s="9" t="str">
        <f>IF($A324="","",(($B324+SUM($D324:$I324)+$J324+Settings!$B$3)/(1-Settings!$B$2))-$M324)</f>
        <v/>
      </c>
      <c r="X324" s="10" t="str">
        <f t="shared" si="49"/>
        <v/>
      </c>
      <c r="Y324" s="10" t="str">
        <f t="shared" si="50"/>
        <v/>
      </c>
      <c r="Z324" s="10" t="str">
        <f t="shared" si="51"/>
        <v/>
      </c>
      <c r="AA324" s="10" t="str">
        <f t="shared" si="52"/>
        <v/>
      </c>
      <c r="AC324" s="11"/>
      <c r="AD324" s="11"/>
      <c r="AE324" s="12" t="str">
        <f t="shared" si="53"/>
        <v/>
      </c>
    </row>
    <row r="325" spans="2:31" x14ac:dyDescent="0.25">
      <c r="B325" s="9"/>
      <c r="C325" t="s">
        <v>31</v>
      </c>
      <c r="D325" s="9" t="str">
        <f>IF($A325="","",1*'Material Costs'!$D$3)</f>
        <v/>
      </c>
      <c r="E325" s="9" t="str">
        <f>IF($A325="","",1*'Material Costs'!$D$2)</f>
        <v/>
      </c>
      <c r="F325" s="9" t="str">
        <f>IF($A325="","",IF($C325="Bubble Mailer",2,1)*'Material Costs'!$D$6)</f>
        <v/>
      </c>
      <c r="G325" s="9" t="str">
        <f>IF($A325="","",1*'Material Costs'!$D$7)</f>
        <v/>
      </c>
      <c r="H325" s="9" t="str">
        <f>IF($A325="","",IF($C325="Bubble Mailer",1,0)*'Material Costs'!$D$5)</f>
        <v/>
      </c>
      <c r="I325" s="9" t="str">
        <f>IF($A325="","",IF($C325="ESE (Ding Defend)",1,0)*'Material Costs'!$D$4)</f>
        <v/>
      </c>
      <c r="J325" s="9"/>
      <c r="K325" s="9" t="str">
        <f t="shared" si="45"/>
        <v/>
      </c>
      <c r="L325" s="9"/>
      <c r="M325" s="9"/>
      <c r="N325" s="9"/>
      <c r="O325" s="9" t="str">
        <f t="shared" si="46"/>
        <v/>
      </c>
      <c r="P325" s="9"/>
      <c r="Q325" s="9" t="str">
        <f>IF($A325="","",IF($O325="", "", ROUND($O325*Settings!$B$2+Settings!$B$3,2)))</f>
        <v/>
      </c>
      <c r="R325" s="9" t="str">
        <f>IF($A325="","",IF($L325="", "", Settings!$B$4))</f>
        <v/>
      </c>
      <c r="S325" s="9" t="str">
        <f t="shared" si="47"/>
        <v/>
      </c>
      <c r="T325" s="9" t="str">
        <f t="shared" si="48"/>
        <v/>
      </c>
      <c r="U325" s="9" t="str">
        <f>IF($A325="","",IF($K325="", "", ROUND((($K325 + Settings!$B$3 + $R325) - IF($M325="",0,$M325))/(1-Settings!$B$2),2)))</f>
        <v/>
      </c>
      <c r="V325" s="9" t="str">
        <f>IF($A325="","",$L325-($L325*Settings!$B$2)-$J325-($B325+SUM($D325:$I325)))</f>
        <v/>
      </c>
      <c r="W325" s="9" t="str">
        <f>IF($A325="","",(($B325+SUM($D325:$I325)+$J325+Settings!$B$3)/(1-Settings!$B$2))-$M325)</f>
        <v/>
      </c>
      <c r="X325" s="10" t="str">
        <f t="shared" si="49"/>
        <v/>
      </c>
      <c r="Y325" s="10" t="str">
        <f t="shared" si="50"/>
        <v/>
      </c>
      <c r="Z325" s="10" t="str">
        <f t="shared" si="51"/>
        <v/>
      </c>
      <c r="AA325" s="10" t="str">
        <f t="shared" si="52"/>
        <v/>
      </c>
      <c r="AC325" s="11"/>
      <c r="AD325" s="11"/>
      <c r="AE325" s="12" t="str">
        <f t="shared" si="53"/>
        <v/>
      </c>
    </row>
    <row r="326" spans="2:31" x14ac:dyDescent="0.25">
      <c r="B326" s="9"/>
      <c r="C326" t="s">
        <v>31</v>
      </c>
      <c r="D326" s="9" t="str">
        <f>IF($A326="","",1*'Material Costs'!$D$3)</f>
        <v/>
      </c>
      <c r="E326" s="9" t="str">
        <f>IF($A326="","",1*'Material Costs'!$D$2)</f>
        <v/>
      </c>
      <c r="F326" s="9" t="str">
        <f>IF($A326="","",IF($C326="Bubble Mailer",2,1)*'Material Costs'!$D$6)</f>
        <v/>
      </c>
      <c r="G326" s="9" t="str">
        <f>IF($A326="","",1*'Material Costs'!$D$7)</f>
        <v/>
      </c>
      <c r="H326" s="9" t="str">
        <f>IF($A326="","",IF($C326="Bubble Mailer",1,0)*'Material Costs'!$D$5)</f>
        <v/>
      </c>
      <c r="I326" s="9" t="str">
        <f>IF($A326="","",IF($C326="ESE (Ding Defend)",1,0)*'Material Costs'!$D$4)</f>
        <v/>
      </c>
      <c r="J326" s="9"/>
      <c r="K326" s="9" t="str">
        <f t="shared" si="45"/>
        <v/>
      </c>
      <c r="L326" s="9"/>
      <c r="M326" s="9"/>
      <c r="N326" s="9"/>
      <c r="O326" s="9" t="str">
        <f t="shared" si="46"/>
        <v/>
      </c>
      <c r="P326" s="9"/>
      <c r="Q326" s="9" t="str">
        <f>IF($A326="","",IF($O326="", "", ROUND($O326*Settings!$B$2+Settings!$B$3,2)))</f>
        <v/>
      </c>
      <c r="R326" s="9" t="str">
        <f>IF($A326="","",IF($L326="", "", Settings!$B$4))</f>
        <v/>
      </c>
      <c r="S326" s="9" t="str">
        <f t="shared" si="47"/>
        <v/>
      </c>
      <c r="T326" s="9" t="str">
        <f t="shared" si="48"/>
        <v/>
      </c>
      <c r="U326" s="9" t="str">
        <f>IF($A326="","",IF($K326="", "", ROUND((($K326 + Settings!$B$3 + $R326) - IF($M326="",0,$M326))/(1-Settings!$B$2),2)))</f>
        <v/>
      </c>
      <c r="V326" s="9" t="str">
        <f>IF($A326="","",$L326-($L326*Settings!$B$2)-$J326-($B326+SUM($D326:$I326)))</f>
        <v/>
      </c>
      <c r="W326" s="9" t="str">
        <f>IF($A326="","",(($B326+SUM($D326:$I326)+$J326+Settings!$B$3)/(1-Settings!$B$2))-$M326)</f>
        <v/>
      </c>
      <c r="X326" s="10" t="str">
        <f t="shared" si="49"/>
        <v/>
      </c>
      <c r="Y326" s="10" t="str">
        <f t="shared" si="50"/>
        <v/>
      </c>
      <c r="Z326" s="10" t="str">
        <f t="shared" si="51"/>
        <v/>
      </c>
      <c r="AA326" s="10" t="str">
        <f t="shared" si="52"/>
        <v/>
      </c>
      <c r="AC326" s="11"/>
      <c r="AD326" s="11"/>
      <c r="AE326" s="12" t="str">
        <f t="shared" si="53"/>
        <v/>
      </c>
    </row>
    <row r="327" spans="2:31" x14ac:dyDescent="0.25">
      <c r="B327" s="9"/>
      <c r="C327" t="s">
        <v>31</v>
      </c>
      <c r="D327" s="9" t="str">
        <f>IF($A327="","",1*'Material Costs'!$D$3)</f>
        <v/>
      </c>
      <c r="E327" s="9" t="str">
        <f>IF($A327="","",1*'Material Costs'!$D$2)</f>
        <v/>
      </c>
      <c r="F327" s="9" t="str">
        <f>IF($A327="","",IF($C327="Bubble Mailer",2,1)*'Material Costs'!$D$6)</f>
        <v/>
      </c>
      <c r="G327" s="9" t="str">
        <f>IF($A327="","",1*'Material Costs'!$D$7)</f>
        <v/>
      </c>
      <c r="H327" s="9" t="str">
        <f>IF($A327="","",IF($C327="Bubble Mailer",1,0)*'Material Costs'!$D$5)</f>
        <v/>
      </c>
      <c r="I327" s="9" t="str">
        <f>IF($A327="","",IF($C327="ESE (Ding Defend)",1,0)*'Material Costs'!$D$4)</f>
        <v/>
      </c>
      <c r="J327" s="9"/>
      <c r="K327" s="9" t="str">
        <f t="shared" si="45"/>
        <v/>
      </c>
      <c r="L327" s="9"/>
      <c r="M327" s="9"/>
      <c r="N327" s="9"/>
      <c r="O327" s="9" t="str">
        <f t="shared" si="46"/>
        <v/>
      </c>
      <c r="P327" s="9"/>
      <c r="Q327" s="9" t="str">
        <f>IF($A327="","",IF($O327="", "", ROUND($O327*Settings!$B$2+Settings!$B$3,2)))</f>
        <v/>
      </c>
      <c r="R327" s="9" t="str">
        <f>IF($A327="","",IF($L327="", "", Settings!$B$4))</f>
        <v/>
      </c>
      <c r="S327" s="9" t="str">
        <f t="shared" si="47"/>
        <v/>
      </c>
      <c r="T327" s="9" t="str">
        <f t="shared" si="48"/>
        <v/>
      </c>
      <c r="U327" s="9" t="str">
        <f>IF($A327="","",IF($K327="", "", ROUND((($K327 + Settings!$B$3 + $R327) - IF($M327="",0,$M327))/(1-Settings!$B$2),2)))</f>
        <v/>
      </c>
      <c r="V327" s="9" t="str">
        <f>IF($A327="","",$L327-($L327*Settings!$B$2)-$J327-($B327+SUM($D327:$I327)))</f>
        <v/>
      </c>
      <c r="W327" s="9" t="str">
        <f>IF($A327="","",(($B327+SUM($D327:$I327)+$J327+Settings!$B$3)/(1-Settings!$B$2))-$M327)</f>
        <v/>
      </c>
      <c r="X327" s="10" t="str">
        <f t="shared" si="49"/>
        <v/>
      </c>
      <c r="Y327" s="10" t="str">
        <f t="shared" si="50"/>
        <v/>
      </c>
      <c r="Z327" s="10" t="str">
        <f t="shared" si="51"/>
        <v/>
      </c>
      <c r="AA327" s="10" t="str">
        <f t="shared" si="52"/>
        <v/>
      </c>
      <c r="AC327" s="11"/>
      <c r="AD327" s="11"/>
      <c r="AE327" s="12" t="str">
        <f t="shared" si="53"/>
        <v/>
      </c>
    </row>
    <row r="328" spans="2:31" x14ac:dyDescent="0.25">
      <c r="B328" s="9"/>
      <c r="C328" t="s">
        <v>31</v>
      </c>
      <c r="D328" s="9" t="str">
        <f>IF($A328="","",1*'Material Costs'!$D$3)</f>
        <v/>
      </c>
      <c r="E328" s="9" t="str">
        <f>IF($A328="","",1*'Material Costs'!$D$2)</f>
        <v/>
      </c>
      <c r="F328" s="9" t="str">
        <f>IF($A328="","",IF($C328="Bubble Mailer",2,1)*'Material Costs'!$D$6)</f>
        <v/>
      </c>
      <c r="G328" s="9" t="str">
        <f>IF($A328="","",1*'Material Costs'!$D$7)</f>
        <v/>
      </c>
      <c r="H328" s="9" t="str">
        <f>IF($A328="","",IF($C328="Bubble Mailer",1,0)*'Material Costs'!$D$5)</f>
        <v/>
      </c>
      <c r="I328" s="9" t="str">
        <f>IF($A328="","",IF($C328="ESE (Ding Defend)",1,0)*'Material Costs'!$D$4)</f>
        <v/>
      </c>
      <c r="J328" s="9"/>
      <c r="K328" s="9" t="str">
        <f t="shared" si="45"/>
        <v/>
      </c>
      <c r="L328" s="9"/>
      <c r="M328" s="9"/>
      <c r="N328" s="9"/>
      <c r="O328" s="9" t="str">
        <f t="shared" si="46"/>
        <v/>
      </c>
      <c r="P328" s="9"/>
      <c r="Q328" s="9" t="str">
        <f>IF($A328="","",IF($O328="", "", ROUND($O328*Settings!$B$2+Settings!$B$3,2)))</f>
        <v/>
      </c>
      <c r="R328" s="9" t="str">
        <f>IF($A328="","",IF($L328="", "", Settings!$B$4))</f>
        <v/>
      </c>
      <c r="S328" s="9" t="str">
        <f t="shared" si="47"/>
        <v/>
      </c>
      <c r="T328" s="9" t="str">
        <f t="shared" si="48"/>
        <v/>
      </c>
      <c r="U328" s="9" t="str">
        <f>IF($A328="","",IF($K328="", "", ROUND((($K328 + Settings!$B$3 + $R328) - IF($M328="",0,$M328))/(1-Settings!$B$2),2)))</f>
        <v/>
      </c>
      <c r="V328" s="9" t="str">
        <f>IF($A328="","",$L328-($L328*Settings!$B$2)-$J328-($B328+SUM($D328:$I328)))</f>
        <v/>
      </c>
      <c r="W328" s="9" t="str">
        <f>IF($A328="","",(($B328+SUM($D328:$I328)+$J328+Settings!$B$3)/(1-Settings!$B$2))-$M328)</f>
        <v/>
      </c>
      <c r="X328" s="10" t="str">
        <f t="shared" si="49"/>
        <v/>
      </c>
      <c r="Y328" s="10" t="str">
        <f t="shared" si="50"/>
        <v/>
      </c>
      <c r="Z328" s="10" t="str">
        <f t="shared" si="51"/>
        <v/>
      </c>
      <c r="AA328" s="10" t="str">
        <f t="shared" si="52"/>
        <v/>
      </c>
      <c r="AC328" s="11"/>
      <c r="AD328" s="11"/>
      <c r="AE328" s="12" t="str">
        <f t="shared" si="53"/>
        <v/>
      </c>
    </row>
    <row r="329" spans="2:31" x14ac:dyDescent="0.25">
      <c r="B329" s="9"/>
      <c r="C329" t="s">
        <v>31</v>
      </c>
      <c r="D329" s="9" t="str">
        <f>IF($A329="","",1*'Material Costs'!$D$3)</f>
        <v/>
      </c>
      <c r="E329" s="9" t="str">
        <f>IF($A329="","",1*'Material Costs'!$D$2)</f>
        <v/>
      </c>
      <c r="F329" s="9" t="str">
        <f>IF($A329="","",IF($C329="Bubble Mailer",2,1)*'Material Costs'!$D$6)</f>
        <v/>
      </c>
      <c r="G329" s="9" t="str">
        <f>IF($A329="","",1*'Material Costs'!$D$7)</f>
        <v/>
      </c>
      <c r="H329" s="9" t="str">
        <f>IF($A329="","",IF($C329="Bubble Mailer",1,0)*'Material Costs'!$D$5)</f>
        <v/>
      </c>
      <c r="I329" s="9" t="str">
        <f>IF($A329="","",IF($C329="ESE (Ding Defend)",1,0)*'Material Costs'!$D$4)</f>
        <v/>
      </c>
      <c r="J329" s="9"/>
      <c r="K329" s="9" t="str">
        <f t="shared" si="45"/>
        <v/>
      </c>
      <c r="L329" s="9"/>
      <c r="M329" s="9"/>
      <c r="N329" s="9"/>
      <c r="O329" s="9" t="str">
        <f t="shared" si="46"/>
        <v/>
      </c>
      <c r="P329" s="9"/>
      <c r="Q329" s="9" t="str">
        <f>IF($A329="","",IF($O329="", "", ROUND($O329*Settings!$B$2+Settings!$B$3,2)))</f>
        <v/>
      </c>
      <c r="R329" s="9" t="str">
        <f>IF($A329="","",IF($L329="", "", Settings!$B$4))</f>
        <v/>
      </c>
      <c r="S329" s="9" t="str">
        <f t="shared" si="47"/>
        <v/>
      </c>
      <c r="T329" s="9" t="str">
        <f t="shared" si="48"/>
        <v/>
      </c>
      <c r="U329" s="9" t="str">
        <f>IF($A329="","",IF($K329="", "", ROUND((($K329 + Settings!$B$3 + $R329) - IF($M329="",0,$M329))/(1-Settings!$B$2),2)))</f>
        <v/>
      </c>
      <c r="V329" s="9" t="str">
        <f>IF($A329="","",$L329-($L329*Settings!$B$2)-$J329-($B329+SUM($D329:$I329)))</f>
        <v/>
      </c>
      <c r="W329" s="9" t="str">
        <f>IF($A329="","",(($B329+SUM($D329:$I329)+$J329+Settings!$B$3)/(1-Settings!$B$2))-$M329)</f>
        <v/>
      </c>
      <c r="X329" s="10" t="str">
        <f t="shared" si="49"/>
        <v/>
      </c>
      <c r="Y329" s="10" t="str">
        <f t="shared" si="50"/>
        <v/>
      </c>
      <c r="Z329" s="10" t="str">
        <f t="shared" si="51"/>
        <v/>
      </c>
      <c r="AA329" s="10" t="str">
        <f t="shared" si="52"/>
        <v/>
      </c>
      <c r="AC329" s="11"/>
      <c r="AD329" s="11"/>
      <c r="AE329" s="12" t="str">
        <f t="shared" si="53"/>
        <v/>
      </c>
    </row>
    <row r="330" spans="2:31" x14ac:dyDescent="0.25">
      <c r="B330" s="9"/>
      <c r="C330" t="s">
        <v>31</v>
      </c>
      <c r="D330" s="9" t="str">
        <f>IF($A330="","",1*'Material Costs'!$D$3)</f>
        <v/>
      </c>
      <c r="E330" s="9" t="str">
        <f>IF($A330="","",1*'Material Costs'!$D$2)</f>
        <v/>
      </c>
      <c r="F330" s="9" t="str">
        <f>IF($A330="","",IF($C330="Bubble Mailer",2,1)*'Material Costs'!$D$6)</f>
        <v/>
      </c>
      <c r="G330" s="9" t="str">
        <f>IF($A330="","",1*'Material Costs'!$D$7)</f>
        <v/>
      </c>
      <c r="H330" s="9" t="str">
        <f>IF($A330="","",IF($C330="Bubble Mailer",1,0)*'Material Costs'!$D$5)</f>
        <v/>
      </c>
      <c r="I330" s="9" t="str">
        <f>IF($A330="","",IF($C330="ESE (Ding Defend)",1,0)*'Material Costs'!$D$4)</f>
        <v/>
      </c>
      <c r="J330" s="9"/>
      <c r="K330" s="9" t="str">
        <f t="shared" si="45"/>
        <v/>
      </c>
      <c r="L330" s="9"/>
      <c r="M330" s="9"/>
      <c r="N330" s="9"/>
      <c r="O330" s="9" t="str">
        <f t="shared" si="46"/>
        <v/>
      </c>
      <c r="P330" s="9"/>
      <c r="Q330" s="9" t="str">
        <f>IF($A330="","",IF($O330="", "", ROUND($O330*Settings!$B$2+Settings!$B$3,2)))</f>
        <v/>
      </c>
      <c r="R330" s="9" t="str">
        <f>IF($A330="","",IF($L330="", "", Settings!$B$4))</f>
        <v/>
      </c>
      <c r="S330" s="9" t="str">
        <f t="shared" si="47"/>
        <v/>
      </c>
      <c r="T330" s="9" t="str">
        <f t="shared" si="48"/>
        <v/>
      </c>
      <c r="U330" s="9" t="str">
        <f>IF($A330="","",IF($K330="", "", ROUND((($K330 + Settings!$B$3 + $R330) - IF($M330="",0,$M330))/(1-Settings!$B$2),2)))</f>
        <v/>
      </c>
      <c r="V330" s="9" t="str">
        <f>IF($A330="","",$L330-($L330*Settings!$B$2)-$J330-($B330+SUM($D330:$I330)))</f>
        <v/>
      </c>
      <c r="W330" s="9" t="str">
        <f>IF($A330="","",(($B330+SUM($D330:$I330)+$J330+Settings!$B$3)/(1-Settings!$B$2))-$M330)</f>
        <v/>
      </c>
      <c r="X330" s="10" t="str">
        <f t="shared" si="49"/>
        <v/>
      </c>
      <c r="Y330" s="10" t="str">
        <f t="shared" si="50"/>
        <v/>
      </c>
      <c r="Z330" s="10" t="str">
        <f t="shared" si="51"/>
        <v/>
      </c>
      <c r="AA330" s="10" t="str">
        <f t="shared" si="52"/>
        <v/>
      </c>
      <c r="AC330" s="11"/>
      <c r="AD330" s="11"/>
      <c r="AE330" s="12" t="str">
        <f t="shared" si="53"/>
        <v/>
      </c>
    </row>
    <row r="331" spans="2:31" x14ac:dyDescent="0.25">
      <c r="B331" s="9"/>
      <c r="C331" t="s">
        <v>31</v>
      </c>
      <c r="D331" s="9" t="str">
        <f>IF($A331="","",1*'Material Costs'!$D$3)</f>
        <v/>
      </c>
      <c r="E331" s="9" t="str">
        <f>IF($A331="","",1*'Material Costs'!$D$2)</f>
        <v/>
      </c>
      <c r="F331" s="9" t="str">
        <f>IF($A331="","",IF($C331="Bubble Mailer",2,1)*'Material Costs'!$D$6)</f>
        <v/>
      </c>
      <c r="G331" s="9" t="str">
        <f>IF($A331="","",1*'Material Costs'!$D$7)</f>
        <v/>
      </c>
      <c r="H331" s="9" t="str">
        <f>IF($A331="","",IF($C331="Bubble Mailer",1,0)*'Material Costs'!$D$5)</f>
        <v/>
      </c>
      <c r="I331" s="9" t="str">
        <f>IF($A331="","",IF($C331="ESE (Ding Defend)",1,0)*'Material Costs'!$D$4)</f>
        <v/>
      </c>
      <c r="J331" s="9"/>
      <c r="K331" s="9" t="str">
        <f t="shared" si="45"/>
        <v/>
      </c>
      <c r="L331" s="9"/>
      <c r="M331" s="9"/>
      <c r="N331" s="9"/>
      <c r="O331" s="9" t="str">
        <f t="shared" si="46"/>
        <v/>
      </c>
      <c r="P331" s="9"/>
      <c r="Q331" s="9" t="str">
        <f>IF($A331="","",IF($O331="", "", ROUND($O331*Settings!$B$2+Settings!$B$3,2)))</f>
        <v/>
      </c>
      <c r="R331" s="9" t="str">
        <f>IF($A331="","",IF($L331="", "", Settings!$B$4))</f>
        <v/>
      </c>
      <c r="S331" s="9" t="str">
        <f t="shared" si="47"/>
        <v/>
      </c>
      <c r="T331" s="9" t="str">
        <f t="shared" si="48"/>
        <v/>
      </c>
      <c r="U331" s="9" t="str">
        <f>IF($A331="","",IF($K331="", "", ROUND((($K331 + Settings!$B$3 + $R331) - IF($M331="",0,$M331))/(1-Settings!$B$2),2)))</f>
        <v/>
      </c>
      <c r="V331" s="9" t="str">
        <f>IF($A331="","",$L331-($L331*Settings!$B$2)-$J331-($B331+SUM($D331:$I331)))</f>
        <v/>
      </c>
      <c r="W331" s="9" t="str">
        <f>IF($A331="","",(($B331+SUM($D331:$I331)+$J331+Settings!$B$3)/(1-Settings!$B$2))-$M331)</f>
        <v/>
      </c>
      <c r="X331" s="10" t="str">
        <f t="shared" si="49"/>
        <v/>
      </c>
      <c r="Y331" s="10" t="str">
        <f t="shared" si="50"/>
        <v/>
      </c>
      <c r="Z331" s="10" t="str">
        <f t="shared" si="51"/>
        <v/>
      </c>
      <c r="AA331" s="10" t="str">
        <f t="shared" si="52"/>
        <v/>
      </c>
      <c r="AC331" s="11"/>
      <c r="AD331" s="11"/>
      <c r="AE331" s="12" t="str">
        <f t="shared" si="53"/>
        <v/>
      </c>
    </row>
    <row r="332" spans="2:31" x14ac:dyDescent="0.25">
      <c r="B332" s="9"/>
      <c r="C332" t="s">
        <v>31</v>
      </c>
      <c r="D332" s="9" t="str">
        <f>IF($A332="","",1*'Material Costs'!$D$3)</f>
        <v/>
      </c>
      <c r="E332" s="9" t="str">
        <f>IF($A332="","",1*'Material Costs'!$D$2)</f>
        <v/>
      </c>
      <c r="F332" s="9" t="str">
        <f>IF($A332="","",IF($C332="Bubble Mailer",2,1)*'Material Costs'!$D$6)</f>
        <v/>
      </c>
      <c r="G332" s="9" t="str">
        <f>IF($A332="","",1*'Material Costs'!$D$7)</f>
        <v/>
      </c>
      <c r="H332" s="9" t="str">
        <f>IF($A332="","",IF($C332="Bubble Mailer",1,0)*'Material Costs'!$D$5)</f>
        <v/>
      </c>
      <c r="I332" s="9" t="str">
        <f>IF($A332="","",IF($C332="ESE (Ding Defend)",1,0)*'Material Costs'!$D$4)</f>
        <v/>
      </c>
      <c r="J332" s="9"/>
      <c r="K332" s="9" t="str">
        <f t="shared" si="45"/>
        <v/>
      </c>
      <c r="L332" s="9"/>
      <c r="M332" s="9"/>
      <c r="N332" s="9"/>
      <c r="O332" s="9" t="str">
        <f t="shared" si="46"/>
        <v/>
      </c>
      <c r="P332" s="9"/>
      <c r="Q332" s="9" t="str">
        <f>IF($A332="","",IF($O332="", "", ROUND($O332*Settings!$B$2+Settings!$B$3,2)))</f>
        <v/>
      </c>
      <c r="R332" s="9" t="str">
        <f>IF($A332="","",IF($L332="", "", Settings!$B$4))</f>
        <v/>
      </c>
      <c r="S332" s="9" t="str">
        <f t="shared" si="47"/>
        <v/>
      </c>
      <c r="T332" s="9" t="str">
        <f t="shared" si="48"/>
        <v/>
      </c>
      <c r="U332" s="9" t="str">
        <f>IF($A332="","",IF($K332="", "", ROUND((($K332 + Settings!$B$3 + $R332) - IF($M332="",0,$M332))/(1-Settings!$B$2),2)))</f>
        <v/>
      </c>
      <c r="V332" s="9" t="str">
        <f>IF($A332="","",$L332-($L332*Settings!$B$2)-$J332-($B332+SUM($D332:$I332)))</f>
        <v/>
      </c>
      <c r="W332" s="9" t="str">
        <f>IF($A332="","",(($B332+SUM($D332:$I332)+$J332+Settings!$B$3)/(1-Settings!$B$2))-$M332)</f>
        <v/>
      </c>
      <c r="X332" s="10" t="str">
        <f t="shared" si="49"/>
        <v/>
      </c>
      <c r="Y332" s="10" t="str">
        <f t="shared" si="50"/>
        <v/>
      </c>
      <c r="Z332" s="10" t="str">
        <f t="shared" si="51"/>
        <v/>
      </c>
      <c r="AA332" s="10" t="str">
        <f t="shared" si="52"/>
        <v/>
      </c>
      <c r="AC332" s="11"/>
      <c r="AD332" s="11"/>
      <c r="AE332" s="12" t="str">
        <f t="shared" si="53"/>
        <v/>
      </c>
    </row>
    <row r="333" spans="2:31" x14ac:dyDescent="0.25">
      <c r="B333" s="9"/>
      <c r="C333" t="s">
        <v>31</v>
      </c>
      <c r="D333" s="9" t="str">
        <f>IF($A333="","",1*'Material Costs'!$D$3)</f>
        <v/>
      </c>
      <c r="E333" s="9" t="str">
        <f>IF($A333="","",1*'Material Costs'!$D$2)</f>
        <v/>
      </c>
      <c r="F333" s="9" t="str">
        <f>IF($A333="","",IF($C333="Bubble Mailer",2,1)*'Material Costs'!$D$6)</f>
        <v/>
      </c>
      <c r="G333" s="9" t="str">
        <f>IF($A333="","",1*'Material Costs'!$D$7)</f>
        <v/>
      </c>
      <c r="H333" s="9" t="str">
        <f>IF($A333="","",IF($C333="Bubble Mailer",1,0)*'Material Costs'!$D$5)</f>
        <v/>
      </c>
      <c r="I333" s="9" t="str">
        <f>IF($A333="","",IF($C333="ESE (Ding Defend)",1,0)*'Material Costs'!$D$4)</f>
        <v/>
      </c>
      <c r="J333" s="9"/>
      <c r="K333" s="9" t="str">
        <f t="shared" si="45"/>
        <v/>
      </c>
      <c r="L333" s="9"/>
      <c r="M333" s="9"/>
      <c r="N333" s="9"/>
      <c r="O333" s="9" t="str">
        <f t="shared" si="46"/>
        <v/>
      </c>
      <c r="P333" s="9"/>
      <c r="Q333" s="9" t="str">
        <f>IF($A333="","",IF($O333="", "", ROUND($O333*Settings!$B$2+Settings!$B$3,2)))</f>
        <v/>
      </c>
      <c r="R333" s="9" t="str">
        <f>IF($A333="","",IF($L333="", "", Settings!$B$4))</f>
        <v/>
      </c>
      <c r="S333" s="9" t="str">
        <f t="shared" si="47"/>
        <v/>
      </c>
      <c r="T333" s="9" t="str">
        <f t="shared" si="48"/>
        <v/>
      </c>
      <c r="U333" s="9" t="str">
        <f>IF($A333="","",IF($K333="", "", ROUND((($K333 + Settings!$B$3 + $R333) - IF($M333="",0,$M333))/(1-Settings!$B$2),2)))</f>
        <v/>
      </c>
      <c r="V333" s="9" t="str">
        <f>IF($A333="","",$L333-($L333*Settings!$B$2)-$J333-($B333+SUM($D333:$I333)))</f>
        <v/>
      </c>
      <c r="W333" s="9" t="str">
        <f>IF($A333="","",(($B333+SUM($D333:$I333)+$J333+Settings!$B$3)/(1-Settings!$B$2))-$M333)</f>
        <v/>
      </c>
      <c r="X333" s="10" t="str">
        <f t="shared" si="49"/>
        <v/>
      </c>
      <c r="Y333" s="10" t="str">
        <f t="shared" si="50"/>
        <v/>
      </c>
      <c r="Z333" s="10" t="str">
        <f t="shared" si="51"/>
        <v/>
      </c>
      <c r="AA333" s="10" t="str">
        <f t="shared" si="52"/>
        <v/>
      </c>
      <c r="AC333" s="11"/>
      <c r="AD333" s="11"/>
      <c r="AE333" s="12" t="str">
        <f t="shared" si="53"/>
        <v/>
      </c>
    </row>
    <row r="334" spans="2:31" x14ac:dyDescent="0.25">
      <c r="B334" s="9"/>
      <c r="C334" t="s">
        <v>31</v>
      </c>
      <c r="D334" s="9" t="str">
        <f>IF($A334="","",1*'Material Costs'!$D$3)</f>
        <v/>
      </c>
      <c r="E334" s="9" t="str">
        <f>IF($A334="","",1*'Material Costs'!$D$2)</f>
        <v/>
      </c>
      <c r="F334" s="9" t="str">
        <f>IF($A334="","",IF($C334="Bubble Mailer",2,1)*'Material Costs'!$D$6)</f>
        <v/>
      </c>
      <c r="G334" s="9" t="str">
        <f>IF($A334="","",1*'Material Costs'!$D$7)</f>
        <v/>
      </c>
      <c r="H334" s="9" t="str">
        <f>IF($A334="","",IF($C334="Bubble Mailer",1,0)*'Material Costs'!$D$5)</f>
        <v/>
      </c>
      <c r="I334" s="9" t="str">
        <f>IF($A334="","",IF($C334="ESE (Ding Defend)",1,0)*'Material Costs'!$D$4)</f>
        <v/>
      </c>
      <c r="J334" s="9"/>
      <c r="K334" s="9" t="str">
        <f t="shared" si="45"/>
        <v/>
      </c>
      <c r="L334" s="9"/>
      <c r="M334" s="9"/>
      <c r="N334" s="9"/>
      <c r="O334" s="9" t="str">
        <f t="shared" si="46"/>
        <v/>
      </c>
      <c r="P334" s="9"/>
      <c r="Q334" s="9" t="str">
        <f>IF($A334="","",IF($O334="", "", ROUND($O334*Settings!$B$2+Settings!$B$3,2)))</f>
        <v/>
      </c>
      <c r="R334" s="9" t="str">
        <f>IF($A334="","",IF($L334="", "", Settings!$B$4))</f>
        <v/>
      </c>
      <c r="S334" s="9" t="str">
        <f t="shared" si="47"/>
        <v/>
      </c>
      <c r="T334" s="9" t="str">
        <f t="shared" si="48"/>
        <v/>
      </c>
      <c r="U334" s="9" t="str">
        <f>IF($A334="","",IF($K334="", "", ROUND((($K334 + Settings!$B$3 + $R334) - IF($M334="",0,$M334))/(1-Settings!$B$2),2)))</f>
        <v/>
      </c>
      <c r="V334" s="9" t="str">
        <f>IF($A334="","",$L334-($L334*Settings!$B$2)-$J334-($B334+SUM($D334:$I334)))</f>
        <v/>
      </c>
      <c r="W334" s="9" t="str">
        <f>IF($A334="","",(($B334+SUM($D334:$I334)+$J334+Settings!$B$3)/(1-Settings!$B$2))-$M334)</f>
        <v/>
      </c>
      <c r="X334" s="10" t="str">
        <f t="shared" si="49"/>
        <v/>
      </c>
      <c r="Y334" s="10" t="str">
        <f t="shared" si="50"/>
        <v/>
      </c>
      <c r="Z334" s="10" t="str">
        <f t="shared" si="51"/>
        <v/>
      </c>
      <c r="AA334" s="10" t="str">
        <f t="shared" si="52"/>
        <v/>
      </c>
      <c r="AC334" s="11"/>
      <c r="AD334" s="11"/>
      <c r="AE334" s="12" t="str">
        <f t="shared" si="53"/>
        <v/>
      </c>
    </row>
    <row r="335" spans="2:31" x14ac:dyDescent="0.25">
      <c r="B335" s="9"/>
      <c r="C335" t="s">
        <v>31</v>
      </c>
      <c r="D335" s="9" t="str">
        <f>IF($A335="","",1*'Material Costs'!$D$3)</f>
        <v/>
      </c>
      <c r="E335" s="9" t="str">
        <f>IF($A335="","",1*'Material Costs'!$D$2)</f>
        <v/>
      </c>
      <c r="F335" s="9" t="str">
        <f>IF($A335="","",IF($C335="Bubble Mailer",2,1)*'Material Costs'!$D$6)</f>
        <v/>
      </c>
      <c r="G335" s="9" t="str">
        <f>IF($A335="","",1*'Material Costs'!$D$7)</f>
        <v/>
      </c>
      <c r="H335" s="9" t="str">
        <f>IF($A335="","",IF($C335="Bubble Mailer",1,0)*'Material Costs'!$D$5)</f>
        <v/>
      </c>
      <c r="I335" s="9" t="str">
        <f>IF($A335="","",IF($C335="ESE (Ding Defend)",1,0)*'Material Costs'!$D$4)</f>
        <v/>
      </c>
      <c r="J335" s="9"/>
      <c r="K335" s="9" t="str">
        <f t="shared" si="45"/>
        <v/>
      </c>
      <c r="L335" s="9"/>
      <c r="M335" s="9"/>
      <c r="N335" s="9"/>
      <c r="O335" s="9" t="str">
        <f t="shared" si="46"/>
        <v/>
      </c>
      <c r="P335" s="9"/>
      <c r="Q335" s="9" t="str">
        <f>IF($A335="","",IF($O335="", "", ROUND($O335*Settings!$B$2+Settings!$B$3,2)))</f>
        <v/>
      </c>
      <c r="R335" s="9" t="str">
        <f>IF($A335="","",IF($L335="", "", Settings!$B$4))</f>
        <v/>
      </c>
      <c r="S335" s="9" t="str">
        <f t="shared" si="47"/>
        <v/>
      </c>
      <c r="T335" s="9" t="str">
        <f t="shared" si="48"/>
        <v/>
      </c>
      <c r="U335" s="9" t="str">
        <f>IF($A335="","",IF($K335="", "", ROUND((($K335 + Settings!$B$3 + $R335) - IF($M335="",0,$M335))/(1-Settings!$B$2),2)))</f>
        <v/>
      </c>
      <c r="V335" s="9" t="str">
        <f>IF($A335="","",$L335-($L335*Settings!$B$2)-$J335-($B335+SUM($D335:$I335)))</f>
        <v/>
      </c>
      <c r="W335" s="9" t="str">
        <f>IF($A335="","",(($B335+SUM($D335:$I335)+$J335+Settings!$B$3)/(1-Settings!$B$2))-$M335)</f>
        <v/>
      </c>
      <c r="X335" s="10" t="str">
        <f t="shared" si="49"/>
        <v/>
      </c>
      <c r="Y335" s="10" t="str">
        <f t="shared" si="50"/>
        <v/>
      </c>
      <c r="Z335" s="10" t="str">
        <f t="shared" si="51"/>
        <v/>
      </c>
      <c r="AA335" s="10" t="str">
        <f t="shared" si="52"/>
        <v/>
      </c>
      <c r="AC335" s="11"/>
      <c r="AD335" s="11"/>
      <c r="AE335" s="12" t="str">
        <f t="shared" si="53"/>
        <v/>
      </c>
    </row>
    <row r="336" spans="2:31" x14ac:dyDescent="0.25">
      <c r="B336" s="9"/>
      <c r="C336" t="s">
        <v>31</v>
      </c>
      <c r="D336" s="9" t="str">
        <f>IF($A336="","",1*'Material Costs'!$D$3)</f>
        <v/>
      </c>
      <c r="E336" s="9" t="str">
        <f>IF($A336="","",1*'Material Costs'!$D$2)</f>
        <v/>
      </c>
      <c r="F336" s="9" t="str">
        <f>IF($A336="","",IF($C336="Bubble Mailer",2,1)*'Material Costs'!$D$6)</f>
        <v/>
      </c>
      <c r="G336" s="9" t="str">
        <f>IF($A336="","",1*'Material Costs'!$D$7)</f>
        <v/>
      </c>
      <c r="H336" s="9" t="str">
        <f>IF($A336="","",IF($C336="Bubble Mailer",1,0)*'Material Costs'!$D$5)</f>
        <v/>
      </c>
      <c r="I336" s="9" t="str">
        <f>IF($A336="","",IF($C336="ESE (Ding Defend)",1,0)*'Material Costs'!$D$4)</f>
        <v/>
      </c>
      <c r="J336" s="9"/>
      <c r="K336" s="9" t="str">
        <f t="shared" si="45"/>
        <v/>
      </c>
      <c r="L336" s="9"/>
      <c r="M336" s="9"/>
      <c r="N336" s="9"/>
      <c r="O336" s="9" t="str">
        <f t="shared" si="46"/>
        <v/>
      </c>
      <c r="P336" s="9"/>
      <c r="Q336" s="9" t="str">
        <f>IF($A336="","",IF($O336="", "", ROUND($O336*Settings!$B$2+Settings!$B$3,2)))</f>
        <v/>
      </c>
      <c r="R336" s="9" t="str">
        <f>IF($A336="","",IF($L336="", "", Settings!$B$4))</f>
        <v/>
      </c>
      <c r="S336" s="9" t="str">
        <f t="shared" si="47"/>
        <v/>
      </c>
      <c r="T336" s="9" t="str">
        <f t="shared" si="48"/>
        <v/>
      </c>
      <c r="U336" s="9" t="str">
        <f>IF($A336="","",IF($K336="", "", ROUND((($K336 + Settings!$B$3 + $R336) - IF($M336="",0,$M336))/(1-Settings!$B$2),2)))</f>
        <v/>
      </c>
      <c r="V336" s="9" t="str">
        <f>IF($A336="","",$L336-($L336*Settings!$B$2)-$J336-($B336+SUM($D336:$I336)))</f>
        <v/>
      </c>
      <c r="W336" s="9" t="str">
        <f>IF($A336="","",(($B336+SUM($D336:$I336)+$J336+Settings!$B$3)/(1-Settings!$B$2))-$M336)</f>
        <v/>
      </c>
      <c r="X336" s="10" t="str">
        <f t="shared" si="49"/>
        <v/>
      </c>
      <c r="Y336" s="10" t="str">
        <f t="shared" si="50"/>
        <v/>
      </c>
      <c r="Z336" s="10" t="str">
        <f t="shared" si="51"/>
        <v/>
      </c>
      <c r="AA336" s="10" t="str">
        <f t="shared" si="52"/>
        <v/>
      </c>
      <c r="AC336" s="11"/>
      <c r="AD336" s="11"/>
      <c r="AE336" s="12" t="str">
        <f t="shared" si="53"/>
        <v/>
      </c>
    </row>
    <row r="337" spans="2:31" x14ac:dyDescent="0.25">
      <c r="B337" s="9"/>
      <c r="C337" t="s">
        <v>31</v>
      </c>
      <c r="D337" s="9" t="str">
        <f>IF($A337="","",1*'Material Costs'!$D$3)</f>
        <v/>
      </c>
      <c r="E337" s="9" t="str">
        <f>IF($A337="","",1*'Material Costs'!$D$2)</f>
        <v/>
      </c>
      <c r="F337" s="9" t="str">
        <f>IF($A337="","",IF($C337="Bubble Mailer",2,1)*'Material Costs'!$D$6)</f>
        <v/>
      </c>
      <c r="G337" s="9" t="str">
        <f>IF($A337="","",1*'Material Costs'!$D$7)</f>
        <v/>
      </c>
      <c r="H337" s="9" t="str">
        <f>IF($A337="","",IF($C337="Bubble Mailer",1,0)*'Material Costs'!$D$5)</f>
        <v/>
      </c>
      <c r="I337" s="9" t="str">
        <f>IF($A337="","",IF($C337="ESE (Ding Defend)",1,0)*'Material Costs'!$D$4)</f>
        <v/>
      </c>
      <c r="J337" s="9"/>
      <c r="K337" s="9" t="str">
        <f t="shared" si="45"/>
        <v/>
      </c>
      <c r="L337" s="9"/>
      <c r="M337" s="9"/>
      <c r="N337" s="9"/>
      <c r="O337" s="9" t="str">
        <f t="shared" si="46"/>
        <v/>
      </c>
      <c r="P337" s="9"/>
      <c r="Q337" s="9" t="str">
        <f>IF($A337="","",IF($O337="", "", ROUND($O337*Settings!$B$2+Settings!$B$3,2)))</f>
        <v/>
      </c>
      <c r="R337" s="9" t="str">
        <f>IF($A337="","",IF($L337="", "", Settings!$B$4))</f>
        <v/>
      </c>
      <c r="S337" s="9" t="str">
        <f t="shared" si="47"/>
        <v/>
      </c>
      <c r="T337" s="9" t="str">
        <f t="shared" si="48"/>
        <v/>
      </c>
      <c r="U337" s="9" t="str">
        <f>IF($A337="","",IF($K337="", "", ROUND((($K337 + Settings!$B$3 + $R337) - IF($M337="",0,$M337))/(1-Settings!$B$2),2)))</f>
        <v/>
      </c>
      <c r="V337" s="9" t="str">
        <f>IF($A337="","",$L337-($L337*Settings!$B$2)-$J337-($B337+SUM($D337:$I337)))</f>
        <v/>
      </c>
      <c r="W337" s="9" t="str">
        <f>IF($A337="","",(($B337+SUM($D337:$I337)+$J337+Settings!$B$3)/(1-Settings!$B$2))-$M337)</f>
        <v/>
      </c>
      <c r="X337" s="10" t="str">
        <f t="shared" si="49"/>
        <v/>
      </c>
      <c r="Y337" s="10" t="str">
        <f t="shared" si="50"/>
        <v/>
      </c>
      <c r="Z337" s="10" t="str">
        <f t="shared" si="51"/>
        <v/>
      </c>
      <c r="AA337" s="10" t="str">
        <f t="shared" si="52"/>
        <v/>
      </c>
      <c r="AC337" s="11"/>
      <c r="AD337" s="11"/>
      <c r="AE337" s="12" t="str">
        <f t="shared" si="53"/>
        <v/>
      </c>
    </row>
    <row r="338" spans="2:31" x14ac:dyDescent="0.25">
      <c r="B338" s="9"/>
      <c r="C338" t="s">
        <v>31</v>
      </c>
      <c r="D338" s="9" t="str">
        <f>IF($A338="","",1*'Material Costs'!$D$3)</f>
        <v/>
      </c>
      <c r="E338" s="9" t="str">
        <f>IF($A338="","",1*'Material Costs'!$D$2)</f>
        <v/>
      </c>
      <c r="F338" s="9" t="str">
        <f>IF($A338="","",IF($C338="Bubble Mailer",2,1)*'Material Costs'!$D$6)</f>
        <v/>
      </c>
      <c r="G338" s="9" t="str">
        <f>IF($A338="","",1*'Material Costs'!$D$7)</f>
        <v/>
      </c>
      <c r="H338" s="9" t="str">
        <f>IF($A338="","",IF($C338="Bubble Mailer",1,0)*'Material Costs'!$D$5)</f>
        <v/>
      </c>
      <c r="I338" s="9" t="str">
        <f>IF($A338="","",IF($C338="ESE (Ding Defend)",1,0)*'Material Costs'!$D$4)</f>
        <v/>
      </c>
      <c r="J338" s="9"/>
      <c r="K338" s="9" t="str">
        <f t="shared" si="45"/>
        <v/>
      </c>
      <c r="L338" s="9"/>
      <c r="M338" s="9"/>
      <c r="N338" s="9"/>
      <c r="O338" s="9" t="str">
        <f t="shared" si="46"/>
        <v/>
      </c>
      <c r="P338" s="9"/>
      <c r="Q338" s="9" t="str">
        <f>IF($A338="","",IF($O338="", "", ROUND($O338*Settings!$B$2+Settings!$B$3,2)))</f>
        <v/>
      </c>
      <c r="R338" s="9" t="str">
        <f>IF($A338="","",IF($L338="", "", Settings!$B$4))</f>
        <v/>
      </c>
      <c r="S338" s="9" t="str">
        <f t="shared" si="47"/>
        <v/>
      </c>
      <c r="T338" s="9" t="str">
        <f t="shared" si="48"/>
        <v/>
      </c>
      <c r="U338" s="9" t="str">
        <f>IF($A338="","",IF($K338="", "", ROUND((($K338 + Settings!$B$3 + $R338) - IF($M338="",0,$M338))/(1-Settings!$B$2),2)))</f>
        <v/>
      </c>
      <c r="V338" s="9" t="str">
        <f>IF($A338="","",$L338-($L338*Settings!$B$2)-$J338-($B338+SUM($D338:$I338)))</f>
        <v/>
      </c>
      <c r="W338" s="9" t="str">
        <f>IF($A338="","",(($B338+SUM($D338:$I338)+$J338+Settings!$B$3)/(1-Settings!$B$2))-$M338)</f>
        <v/>
      </c>
      <c r="X338" s="10" t="str">
        <f t="shared" si="49"/>
        <v/>
      </c>
      <c r="Y338" s="10" t="str">
        <f t="shared" si="50"/>
        <v/>
      </c>
      <c r="Z338" s="10" t="str">
        <f t="shared" si="51"/>
        <v/>
      </c>
      <c r="AA338" s="10" t="str">
        <f t="shared" si="52"/>
        <v/>
      </c>
      <c r="AC338" s="11"/>
      <c r="AD338" s="11"/>
      <c r="AE338" s="12" t="str">
        <f t="shared" si="53"/>
        <v/>
      </c>
    </row>
    <row r="339" spans="2:31" x14ac:dyDescent="0.25">
      <c r="B339" s="9"/>
      <c r="C339" t="s">
        <v>31</v>
      </c>
      <c r="D339" s="9" t="str">
        <f>IF($A339="","",1*'Material Costs'!$D$3)</f>
        <v/>
      </c>
      <c r="E339" s="9" t="str">
        <f>IF($A339="","",1*'Material Costs'!$D$2)</f>
        <v/>
      </c>
      <c r="F339" s="9" t="str">
        <f>IF($A339="","",IF($C339="Bubble Mailer",2,1)*'Material Costs'!$D$6)</f>
        <v/>
      </c>
      <c r="G339" s="9" t="str">
        <f>IF($A339="","",1*'Material Costs'!$D$7)</f>
        <v/>
      </c>
      <c r="H339" s="9" t="str">
        <f>IF($A339="","",IF($C339="Bubble Mailer",1,0)*'Material Costs'!$D$5)</f>
        <v/>
      </c>
      <c r="I339" s="9" t="str">
        <f>IF($A339="","",IF($C339="ESE (Ding Defend)",1,0)*'Material Costs'!$D$4)</f>
        <v/>
      </c>
      <c r="J339" s="9"/>
      <c r="K339" s="9" t="str">
        <f t="shared" si="45"/>
        <v/>
      </c>
      <c r="L339" s="9"/>
      <c r="M339" s="9"/>
      <c r="N339" s="9"/>
      <c r="O339" s="9" t="str">
        <f t="shared" si="46"/>
        <v/>
      </c>
      <c r="P339" s="9"/>
      <c r="Q339" s="9" t="str">
        <f>IF($A339="","",IF($O339="", "", ROUND($O339*Settings!$B$2+Settings!$B$3,2)))</f>
        <v/>
      </c>
      <c r="R339" s="9" t="str">
        <f>IF($A339="","",IF($L339="", "", Settings!$B$4))</f>
        <v/>
      </c>
      <c r="S339" s="9" t="str">
        <f t="shared" si="47"/>
        <v/>
      </c>
      <c r="T339" s="9" t="str">
        <f t="shared" si="48"/>
        <v/>
      </c>
      <c r="U339" s="9" t="str">
        <f>IF($A339="","",IF($K339="", "", ROUND((($K339 + Settings!$B$3 + $R339) - IF($M339="",0,$M339))/(1-Settings!$B$2),2)))</f>
        <v/>
      </c>
      <c r="V339" s="9" t="str">
        <f>IF($A339="","",$L339-($L339*Settings!$B$2)-$J339-($B339+SUM($D339:$I339)))</f>
        <v/>
      </c>
      <c r="W339" s="9" t="str">
        <f>IF($A339="","",(($B339+SUM($D339:$I339)+$J339+Settings!$B$3)/(1-Settings!$B$2))-$M339)</f>
        <v/>
      </c>
      <c r="X339" s="10" t="str">
        <f t="shared" si="49"/>
        <v/>
      </c>
      <c r="Y339" s="10" t="str">
        <f t="shared" si="50"/>
        <v/>
      </c>
      <c r="Z339" s="10" t="str">
        <f t="shared" si="51"/>
        <v/>
      </c>
      <c r="AA339" s="10" t="str">
        <f t="shared" si="52"/>
        <v/>
      </c>
      <c r="AC339" s="11"/>
      <c r="AD339" s="11"/>
      <c r="AE339" s="12" t="str">
        <f t="shared" si="53"/>
        <v/>
      </c>
    </row>
    <row r="340" spans="2:31" x14ac:dyDescent="0.25">
      <c r="B340" s="9"/>
      <c r="C340" t="s">
        <v>31</v>
      </c>
      <c r="D340" s="9" t="str">
        <f>IF($A340="","",1*'Material Costs'!$D$3)</f>
        <v/>
      </c>
      <c r="E340" s="9" t="str">
        <f>IF($A340="","",1*'Material Costs'!$D$2)</f>
        <v/>
      </c>
      <c r="F340" s="9" t="str">
        <f>IF($A340="","",IF($C340="Bubble Mailer",2,1)*'Material Costs'!$D$6)</f>
        <v/>
      </c>
      <c r="G340" s="9" t="str">
        <f>IF($A340="","",1*'Material Costs'!$D$7)</f>
        <v/>
      </c>
      <c r="H340" s="9" t="str">
        <f>IF($A340="","",IF($C340="Bubble Mailer",1,0)*'Material Costs'!$D$5)</f>
        <v/>
      </c>
      <c r="I340" s="9" t="str">
        <f>IF($A340="","",IF($C340="ESE (Ding Defend)",1,0)*'Material Costs'!$D$4)</f>
        <v/>
      </c>
      <c r="J340" s="9"/>
      <c r="K340" s="9" t="str">
        <f t="shared" si="45"/>
        <v/>
      </c>
      <c r="L340" s="9"/>
      <c r="M340" s="9"/>
      <c r="N340" s="9"/>
      <c r="O340" s="9" t="str">
        <f t="shared" si="46"/>
        <v/>
      </c>
      <c r="P340" s="9"/>
      <c r="Q340" s="9" t="str">
        <f>IF($A340="","",IF($O340="", "", ROUND($O340*Settings!$B$2+Settings!$B$3,2)))</f>
        <v/>
      </c>
      <c r="R340" s="9" t="str">
        <f>IF($A340="","",IF($L340="", "", Settings!$B$4))</f>
        <v/>
      </c>
      <c r="S340" s="9" t="str">
        <f t="shared" si="47"/>
        <v/>
      </c>
      <c r="T340" s="9" t="str">
        <f t="shared" si="48"/>
        <v/>
      </c>
      <c r="U340" s="9" t="str">
        <f>IF($A340="","",IF($K340="", "", ROUND((($K340 + Settings!$B$3 + $R340) - IF($M340="",0,$M340))/(1-Settings!$B$2),2)))</f>
        <v/>
      </c>
      <c r="V340" s="9" t="str">
        <f>IF($A340="","",$L340-($L340*Settings!$B$2)-$J340-($B340+SUM($D340:$I340)))</f>
        <v/>
      </c>
      <c r="W340" s="9" t="str">
        <f>IF($A340="","",(($B340+SUM($D340:$I340)+$J340+Settings!$B$3)/(1-Settings!$B$2))-$M340)</f>
        <v/>
      </c>
      <c r="X340" s="10" t="str">
        <f t="shared" si="49"/>
        <v/>
      </c>
      <c r="Y340" s="10" t="str">
        <f t="shared" si="50"/>
        <v/>
      </c>
      <c r="Z340" s="10" t="str">
        <f t="shared" si="51"/>
        <v/>
      </c>
      <c r="AA340" s="10" t="str">
        <f t="shared" si="52"/>
        <v/>
      </c>
      <c r="AC340" s="11"/>
      <c r="AD340" s="11"/>
      <c r="AE340" s="12" t="str">
        <f t="shared" si="53"/>
        <v/>
      </c>
    </row>
    <row r="341" spans="2:31" x14ac:dyDescent="0.25">
      <c r="B341" s="9"/>
      <c r="C341" t="s">
        <v>31</v>
      </c>
      <c r="D341" s="9" t="str">
        <f>IF($A341="","",1*'Material Costs'!$D$3)</f>
        <v/>
      </c>
      <c r="E341" s="9" t="str">
        <f>IF($A341="","",1*'Material Costs'!$D$2)</f>
        <v/>
      </c>
      <c r="F341" s="9" t="str">
        <f>IF($A341="","",IF($C341="Bubble Mailer",2,1)*'Material Costs'!$D$6)</f>
        <v/>
      </c>
      <c r="G341" s="9" t="str">
        <f>IF($A341="","",1*'Material Costs'!$D$7)</f>
        <v/>
      </c>
      <c r="H341" s="9" t="str">
        <f>IF($A341="","",IF($C341="Bubble Mailer",1,0)*'Material Costs'!$D$5)</f>
        <v/>
      </c>
      <c r="I341" s="9" t="str">
        <f>IF($A341="","",IF($C341="ESE (Ding Defend)",1,0)*'Material Costs'!$D$4)</f>
        <v/>
      </c>
      <c r="J341" s="9"/>
      <c r="K341" s="9" t="str">
        <f t="shared" si="45"/>
        <v/>
      </c>
      <c r="L341" s="9"/>
      <c r="M341" s="9"/>
      <c r="N341" s="9"/>
      <c r="O341" s="9" t="str">
        <f t="shared" si="46"/>
        <v/>
      </c>
      <c r="P341" s="9"/>
      <c r="Q341" s="9" t="str">
        <f>IF($A341="","",IF($O341="", "", ROUND($O341*Settings!$B$2+Settings!$B$3,2)))</f>
        <v/>
      </c>
      <c r="R341" s="9" t="str">
        <f>IF($A341="","",IF($L341="", "", Settings!$B$4))</f>
        <v/>
      </c>
      <c r="S341" s="9" t="str">
        <f t="shared" si="47"/>
        <v/>
      </c>
      <c r="T341" s="9" t="str">
        <f t="shared" si="48"/>
        <v/>
      </c>
      <c r="U341" s="9" t="str">
        <f>IF($A341="","",IF($K341="", "", ROUND((($K341 + Settings!$B$3 + $R341) - IF($M341="",0,$M341))/(1-Settings!$B$2),2)))</f>
        <v/>
      </c>
      <c r="V341" s="9" t="str">
        <f>IF($A341="","",$L341-($L341*Settings!$B$2)-$J341-($B341+SUM($D341:$I341)))</f>
        <v/>
      </c>
      <c r="W341" s="9" t="str">
        <f>IF($A341="","",(($B341+SUM($D341:$I341)+$J341+Settings!$B$3)/(1-Settings!$B$2))-$M341)</f>
        <v/>
      </c>
      <c r="X341" s="10" t="str">
        <f t="shared" si="49"/>
        <v/>
      </c>
      <c r="Y341" s="10" t="str">
        <f t="shared" si="50"/>
        <v/>
      </c>
      <c r="Z341" s="10" t="str">
        <f t="shared" si="51"/>
        <v/>
      </c>
      <c r="AA341" s="10" t="str">
        <f t="shared" si="52"/>
        <v/>
      </c>
      <c r="AC341" s="11"/>
      <c r="AD341" s="11"/>
      <c r="AE341" s="12" t="str">
        <f t="shared" si="53"/>
        <v/>
      </c>
    </row>
    <row r="342" spans="2:31" x14ac:dyDescent="0.25">
      <c r="B342" s="9"/>
      <c r="C342" t="s">
        <v>31</v>
      </c>
      <c r="D342" s="9" t="str">
        <f>IF($A342="","",1*'Material Costs'!$D$3)</f>
        <v/>
      </c>
      <c r="E342" s="9" t="str">
        <f>IF($A342="","",1*'Material Costs'!$D$2)</f>
        <v/>
      </c>
      <c r="F342" s="9" t="str">
        <f>IF($A342="","",IF($C342="Bubble Mailer",2,1)*'Material Costs'!$D$6)</f>
        <v/>
      </c>
      <c r="G342" s="9" t="str">
        <f>IF($A342="","",1*'Material Costs'!$D$7)</f>
        <v/>
      </c>
      <c r="H342" s="9" t="str">
        <f>IF($A342="","",IF($C342="Bubble Mailer",1,0)*'Material Costs'!$D$5)</f>
        <v/>
      </c>
      <c r="I342" s="9" t="str">
        <f>IF($A342="","",IF($C342="ESE (Ding Defend)",1,0)*'Material Costs'!$D$4)</f>
        <v/>
      </c>
      <c r="J342" s="9"/>
      <c r="K342" s="9" t="str">
        <f t="shared" si="45"/>
        <v/>
      </c>
      <c r="L342" s="9"/>
      <c r="M342" s="9"/>
      <c r="N342" s="9"/>
      <c r="O342" s="9" t="str">
        <f t="shared" si="46"/>
        <v/>
      </c>
      <c r="P342" s="9"/>
      <c r="Q342" s="9" t="str">
        <f>IF($A342="","",IF($O342="", "", ROUND($O342*Settings!$B$2+Settings!$B$3,2)))</f>
        <v/>
      </c>
      <c r="R342" s="9" t="str">
        <f>IF($A342="","",IF($L342="", "", Settings!$B$4))</f>
        <v/>
      </c>
      <c r="S342" s="9" t="str">
        <f t="shared" si="47"/>
        <v/>
      </c>
      <c r="T342" s="9" t="str">
        <f t="shared" si="48"/>
        <v/>
      </c>
      <c r="U342" s="9" t="str">
        <f>IF($A342="","",IF($K342="", "", ROUND((($K342 + Settings!$B$3 + $R342) - IF($M342="",0,$M342))/(1-Settings!$B$2),2)))</f>
        <v/>
      </c>
      <c r="V342" s="9" t="str">
        <f>IF($A342="","",$L342-($L342*Settings!$B$2)-$J342-($B342+SUM($D342:$I342)))</f>
        <v/>
      </c>
      <c r="W342" s="9" t="str">
        <f>IF($A342="","",(($B342+SUM($D342:$I342)+$J342+Settings!$B$3)/(1-Settings!$B$2))-$M342)</f>
        <v/>
      </c>
      <c r="X342" s="10" t="str">
        <f t="shared" si="49"/>
        <v/>
      </c>
      <c r="Y342" s="10" t="str">
        <f t="shared" si="50"/>
        <v/>
      </c>
      <c r="Z342" s="10" t="str">
        <f t="shared" si="51"/>
        <v/>
      </c>
      <c r="AA342" s="10" t="str">
        <f t="shared" si="52"/>
        <v/>
      </c>
      <c r="AC342" s="11"/>
      <c r="AD342" s="11"/>
      <c r="AE342" s="12" t="str">
        <f t="shared" si="53"/>
        <v/>
      </c>
    </row>
    <row r="343" spans="2:31" x14ac:dyDescent="0.25">
      <c r="B343" s="9"/>
      <c r="C343" t="s">
        <v>31</v>
      </c>
      <c r="D343" s="9" t="str">
        <f>IF($A343="","",1*'Material Costs'!$D$3)</f>
        <v/>
      </c>
      <c r="E343" s="9" t="str">
        <f>IF($A343="","",1*'Material Costs'!$D$2)</f>
        <v/>
      </c>
      <c r="F343" s="9" t="str">
        <f>IF($A343="","",IF($C343="Bubble Mailer",2,1)*'Material Costs'!$D$6)</f>
        <v/>
      </c>
      <c r="G343" s="9" t="str">
        <f>IF($A343="","",1*'Material Costs'!$D$7)</f>
        <v/>
      </c>
      <c r="H343" s="9" t="str">
        <f>IF($A343="","",IF($C343="Bubble Mailer",1,0)*'Material Costs'!$D$5)</f>
        <v/>
      </c>
      <c r="I343" s="9" t="str">
        <f>IF($A343="","",IF($C343="ESE (Ding Defend)",1,0)*'Material Costs'!$D$4)</f>
        <v/>
      </c>
      <c r="J343" s="9"/>
      <c r="K343" s="9" t="str">
        <f t="shared" si="45"/>
        <v/>
      </c>
      <c r="L343" s="9"/>
      <c r="M343" s="9"/>
      <c r="N343" s="9"/>
      <c r="O343" s="9" t="str">
        <f t="shared" si="46"/>
        <v/>
      </c>
      <c r="P343" s="9"/>
      <c r="Q343" s="9" t="str">
        <f>IF($A343="","",IF($O343="", "", ROUND($O343*Settings!$B$2+Settings!$B$3,2)))</f>
        <v/>
      </c>
      <c r="R343" s="9" t="str">
        <f>IF($A343="","",IF($L343="", "", Settings!$B$4))</f>
        <v/>
      </c>
      <c r="S343" s="9" t="str">
        <f t="shared" si="47"/>
        <v/>
      </c>
      <c r="T343" s="9" t="str">
        <f t="shared" si="48"/>
        <v/>
      </c>
      <c r="U343" s="9" t="str">
        <f>IF($A343="","",IF($K343="", "", ROUND((($K343 + Settings!$B$3 + $R343) - IF($M343="",0,$M343))/(1-Settings!$B$2),2)))</f>
        <v/>
      </c>
      <c r="V343" s="9" t="str">
        <f>IF($A343="","",$L343-($L343*Settings!$B$2)-$J343-($B343+SUM($D343:$I343)))</f>
        <v/>
      </c>
      <c r="W343" s="9" t="str">
        <f>IF($A343="","",(($B343+SUM($D343:$I343)+$J343+Settings!$B$3)/(1-Settings!$B$2))-$M343)</f>
        <v/>
      </c>
      <c r="X343" s="10" t="str">
        <f t="shared" si="49"/>
        <v/>
      </c>
      <c r="Y343" s="10" t="str">
        <f t="shared" si="50"/>
        <v/>
      </c>
      <c r="Z343" s="10" t="str">
        <f t="shared" si="51"/>
        <v/>
      </c>
      <c r="AA343" s="10" t="str">
        <f t="shared" si="52"/>
        <v/>
      </c>
      <c r="AC343" s="11"/>
      <c r="AD343" s="11"/>
      <c r="AE343" s="12" t="str">
        <f t="shared" si="53"/>
        <v/>
      </c>
    </row>
    <row r="344" spans="2:31" x14ac:dyDescent="0.25">
      <c r="B344" s="9"/>
      <c r="C344" t="s">
        <v>31</v>
      </c>
      <c r="D344" s="9" t="str">
        <f>IF($A344="","",1*'Material Costs'!$D$3)</f>
        <v/>
      </c>
      <c r="E344" s="9" t="str">
        <f>IF($A344="","",1*'Material Costs'!$D$2)</f>
        <v/>
      </c>
      <c r="F344" s="9" t="str">
        <f>IF($A344="","",IF($C344="Bubble Mailer",2,1)*'Material Costs'!$D$6)</f>
        <v/>
      </c>
      <c r="G344" s="9" t="str">
        <f>IF($A344="","",1*'Material Costs'!$D$7)</f>
        <v/>
      </c>
      <c r="H344" s="9" t="str">
        <f>IF($A344="","",IF($C344="Bubble Mailer",1,0)*'Material Costs'!$D$5)</f>
        <v/>
      </c>
      <c r="I344" s="9" t="str">
        <f>IF($A344="","",IF($C344="ESE (Ding Defend)",1,0)*'Material Costs'!$D$4)</f>
        <v/>
      </c>
      <c r="J344" s="9"/>
      <c r="K344" s="9" t="str">
        <f t="shared" si="45"/>
        <v/>
      </c>
      <c r="L344" s="9"/>
      <c r="M344" s="9"/>
      <c r="N344" s="9"/>
      <c r="O344" s="9" t="str">
        <f t="shared" si="46"/>
        <v/>
      </c>
      <c r="P344" s="9"/>
      <c r="Q344" s="9" t="str">
        <f>IF($A344="","",IF($O344="", "", ROUND($O344*Settings!$B$2+Settings!$B$3,2)))</f>
        <v/>
      </c>
      <c r="R344" s="9" t="str">
        <f>IF($A344="","",IF($L344="", "", Settings!$B$4))</f>
        <v/>
      </c>
      <c r="S344" s="9" t="str">
        <f t="shared" si="47"/>
        <v/>
      </c>
      <c r="T344" s="9" t="str">
        <f t="shared" si="48"/>
        <v/>
      </c>
      <c r="U344" s="9" t="str">
        <f>IF($A344="","",IF($K344="", "", ROUND((($K344 + Settings!$B$3 + $R344) - IF($M344="",0,$M344))/(1-Settings!$B$2),2)))</f>
        <v/>
      </c>
      <c r="V344" s="9" t="str">
        <f>IF($A344="","",$L344-($L344*Settings!$B$2)-$J344-($B344+SUM($D344:$I344)))</f>
        <v/>
      </c>
      <c r="W344" s="9" t="str">
        <f>IF($A344="","",(($B344+SUM($D344:$I344)+$J344+Settings!$B$3)/(1-Settings!$B$2))-$M344)</f>
        <v/>
      </c>
      <c r="X344" s="10" t="str">
        <f t="shared" si="49"/>
        <v/>
      </c>
      <c r="Y344" s="10" t="str">
        <f t="shared" si="50"/>
        <v/>
      </c>
      <c r="Z344" s="10" t="str">
        <f t="shared" si="51"/>
        <v/>
      </c>
      <c r="AA344" s="10" t="str">
        <f t="shared" si="52"/>
        <v/>
      </c>
      <c r="AC344" s="11"/>
      <c r="AD344" s="11"/>
      <c r="AE344" s="12" t="str">
        <f t="shared" si="53"/>
        <v/>
      </c>
    </row>
    <row r="345" spans="2:31" x14ac:dyDescent="0.25">
      <c r="B345" s="9"/>
      <c r="C345" t="s">
        <v>31</v>
      </c>
      <c r="D345" s="9" t="str">
        <f>IF($A345="","",1*'Material Costs'!$D$3)</f>
        <v/>
      </c>
      <c r="E345" s="9" t="str">
        <f>IF($A345="","",1*'Material Costs'!$D$2)</f>
        <v/>
      </c>
      <c r="F345" s="9" t="str">
        <f>IF($A345="","",IF($C345="Bubble Mailer",2,1)*'Material Costs'!$D$6)</f>
        <v/>
      </c>
      <c r="G345" s="9" t="str">
        <f>IF($A345="","",1*'Material Costs'!$D$7)</f>
        <v/>
      </c>
      <c r="H345" s="9" t="str">
        <f>IF($A345="","",IF($C345="Bubble Mailer",1,0)*'Material Costs'!$D$5)</f>
        <v/>
      </c>
      <c r="I345" s="9" t="str">
        <f>IF($A345="","",IF($C345="ESE (Ding Defend)",1,0)*'Material Costs'!$D$4)</f>
        <v/>
      </c>
      <c r="J345" s="9"/>
      <c r="K345" s="9" t="str">
        <f t="shared" si="45"/>
        <v/>
      </c>
      <c r="L345" s="9"/>
      <c r="M345" s="9"/>
      <c r="N345" s="9"/>
      <c r="O345" s="9" t="str">
        <f t="shared" si="46"/>
        <v/>
      </c>
      <c r="P345" s="9"/>
      <c r="Q345" s="9" t="str">
        <f>IF($A345="","",IF($O345="", "", ROUND($O345*Settings!$B$2+Settings!$B$3,2)))</f>
        <v/>
      </c>
      <c r="R345" s="9" t="str">
        <f>IF($A345="","",IF($L345="", "", Settings!$B$4))</f>
        <v/>
      </c>
      <c r="S345" s="9" t="str">
        <f t="shared" si="47"/>
        <v/>
      </c>
      <c r="T345" s="9" t="str">
        <f t="shared" si="48"/>
        <v/>
      </c>
      <c r="U345" s="9" t="str">
        <f>IF($A345="","",IF($K345="", "", ROUND((($K345 + Settings!$B$3 + $R345) - IF($M345="",0,$M345))/(1-Settings!$B$2),2)))</f>
        <v/>
      </c>
      <c r="V345" s="9" t="str">
        <f>IF($A345="","",$L345-($L345*Settings!$B$2)-$J345-($B345+SUM($D345:$I345)))</f>
        <v/>
      </c>
      <c r="W345" s="9" t="str">
        <f>IF($A345="","",(($B345+SUM($D345:$I345)+$J345+Settings!$B$3)/(1-Settings!$B$2))-$M345)</f>
        <v/>
      </c>
      <c r="X345" s="10" t="str">
        <f t="shared" si="49"/>
        <v/>
      </c>
      <c r="Y345" s="10" t="str">
        <f t="shared" si="50"/>
        <v/>
      </c>
      <c r="Z345" s="10" t="str">
        <f t="shared" si="51"/>
        <v/>
      </c>
      <c r="AA345" s="10" t="str">
        <f t="shared" si="52"/>
        <v/>
      </c>
      <c r="AC345" s="11"/>
      <c r="AD345" s="11"/>
      <c r="AE345" s="12" t="str">
        <f t="shared" si="53"/>
        <v/>
      </c>
    </row>
    <row r="346" spans="2:31" x14ac:dyDescent="0.25">
      <c r="B346" s="9"/>
      <c r="C346" t="s">
        <v>31</v>
      </c>
      <c r="D346" s="9" t="str">
        <f>IF($A346="","",1*'Material Costs'!$D$3)</f>
        <v/>
      </c>
      <c r="E346" s="9" t="str">
        <f>IF($A346="","",1*'Material Costs'!$D$2)</f>
        <v/>
      </c>
      <c r="F346" s="9" t="str">
        <f>IF($A346="","",IF($C346="Bubble Mailer",2,1)*'Material Costs'!$D$6)</f>
        <v/>
      </c>
      <c r="G346" s="9" t="str">
        <f>IF($A346="","",1*'Material Costs'!$D$7)</f>
        <v/>
      </c>
      <c r="H346" s="9" t="str">
        <f>IF($A346="","",IF($C346="Bubble Mailer",1,0)*'Material Costs'!$D$5)</f>
        <v/>
      </c>
      <c r="I346" s="9" t="str">
        <f>IF($A346="","",IF($C346="ESE (Ding Defend)",1,0)*'Material Costs'!$D$4)</f>
        <v/>
      </c>
      <c r="J346" s="9"/>
      <c r="K346" s="9" t="str">
        <f t="shared" si="45"/>
        <v/>
      </c>
      <c r="L346" s="9"/>
      <c r="M346" s="9"/>
      <c r="N346" s="9"/>
      <c r="O346" s="9" t="str">
        <f t="shared" si="46"/>
        <v/>
      </c>
      <c r="P346" s="9"/>
      <c r="Q346" s="9" t="str">
        <f>IF($A346="","",IF($O346="", "", ROUND($O346*Settings!$B$2+Settings!$B$3,2)))</f>
        <v/>
      </c>
      <c r="R346" s="9" t="str">
        <f>IF($A346="","",IF($L346="", "", Settings!$B$4))</f>
        <v/>
      </c>
      <c r="S346" s="9" t="str">
        <f t="shared" si="47"/>
        <v/>
      </c>
      <c r="T346" s="9" t="str">
        <f t="shared" si="48"/>
        <v/>
      </c>
      <c r="U346" s="9" t="str">
        <f>IF($A346="","",IF($K346="", "", ROUND((($K346 + Settings!$B$3 + $R346) - IF($M346="",0,$M346))/(1-Settings!$B$2),2)))</f>
        <v/>
      </c>
      <c r="V346" s="9" t="str">
        <f>IF($A346="","",$L346-($L346*Settings!$B$2)-$J346-($B346+SUM($D346:$I346)))</f>
        <v/>
      </c>
      <c r="W346" s="9" t="str">
        <f>IF($A346="","",(($B346+SUM($D346:$I346)+$J346+Settings!$B$3)/(1-Settings!$B$2))-$M346)</f>
        <v/>
      </c>
      <c r="X346" s="10" t="str">
        <f t="shared" si="49"/>
        <v/>
      </c>
      <c r="Y346" s="10" t="str">
        <f t="shared" si="50"/>
        <v/>
      </c>
      <c r="Z346" s="10" t="str">
        <f t="shared" si="51"/>
        <v/>
      </c>
      <c r="AA346" s="10" t="str">
        <f t="shared" si="52"/>
        <v/>
      </c>
      <c r="AC346" s="11"/>
      <c r="AD346" s="11"/>
      <c r="AE346" s="12" t="str">
        <f t="shared" si="53"/>
        <v/>
      </c>
    </row>
    <row r="347" spans="2:31" x14ac:dyDescent="0.25">
      <c r="B347" s="9"/>
      <c r="C347" t="s">
        <v>31</v>
      </c>
      <c r="D347" s="9" t="str">
        <f>IF($A347="","",1*'Material Costs'!$D$3)</f>
        <v/>
      </c>
      <c r="E347" s="9" t="str">
        <f>IF($A347="","",1*'Material Costs'!$D$2)</f>
        <v/>
      </c>
      <c r="F347" s="9" t="str">
        <f>IF($A347="","",IF($C347="Bubble Mailer",2,1)*'Material Costs'!$D$6)</f>
        <v/>
      </c>
      <c r="G347" s="9" t="str">
        <f>IF($A347="","",1*'Material Costs'!$D$7)</f>
        <v/>
      </c>
      <c r="H347" s="9" t="str">
        <f>IF($A347="","",IF($C347="Bubble Mailer",1,0)*'Material Costs'!$D$5)</f>
        <v/>
      </c>
      <c r="I347" s="9" t="str">
        <f>IF($A347="","",IF($C347="ESE (Ding Defend)",1,0)*'Material Costs'!$D$4)</f>
        <v/>
      </c>
      <c r="J347" s="9"/>
      <c r="K347" s="9" t="str">
        <f t="shared" si="45"/>
        <v/>
      </c>
      <c r="L347" s="9"/>
      <c r="M347" s="9"/>
      <c r="N347" s="9"/>
      <c r="O347" s="9" t="str">
        <f t="shared" si="46"/>
        <v/>
      </c>
      <c r="P347" s="9"/>
      <c r="Q347" s="9" t="str">
        <f>IF($A347="","",IF($O347="", "", ROUND($O347*Settings!$B$2+Settings!$B$3,2)))</f>
        <v/>
      </c>
      <c r="R347" s="9" t="str">
        <f>IF($A347="","",IF($L347="", "", Settings!$B$4))</f>
        <v/>
      </c>
      <c r="S347" s="9" t="str">
        <f t="shared" si="47"/>
        <v/>
      </c>
      <c r="T347" s="9" t="str">
        <f t="shared" si="48"/>
        <v/>
      </c>
      <c r="U347" s="9" t="str">
        <f>IF($A347="","",IF($K347="", "", ROUND((($K347 + Settings!$B$3 + $R347) - IF($M347="",0,$M347))/(1-Settings!$B$2),2)))</f>
        <v/>
      </c>
      <c r="V347" s="9" t="str">
        <f>IF($A347="","",$L347-($L347*Settings!$B$2)-$J347-($B347+SUM($D347:$I347)))</f>
        <v/>
      </c>
      <c r="W347" s="9" t="str">
        <f>IF($A347="","",(($B347+SUM($D347:$I347)+$J347+Settings!$B$3)/(1-Settings!$B$2))-$M347)</f>
        <v/>
      </c>
      <c r="X347" s="10" t="str">
        <f t="shared" si="49"/>
        <v/>
      </c>
      <c r="Y347" s="10" t="str">
        <f t="shared" si="50"/>
        <v/>
      </c>
      <c r="Z347" s="10" t="str">
        <f t="shared" si="51"/>
        <v/>
      </c>
      <c r="AA347" s="10" t="str">
        <f t="shared" si="52"/>
        <v/>
      </c>
      <c r="AC347" s="11"/>
      <c r="AD347" s="11"/>
      <c r="AE347" s="12" t="str">
        <f t="shared" si="53"/>
        <v/>
      </c>
    </row>
    <row r="348" spans="2:31" x14ac:dyDescent="0.25">
      <c r="B348" s="9"/>
      <c r="C348" t="s">
        <v>31</v>
      </c>
      <c r="D348" s="9" t="str">
        <f>IF($A348="","",1*'Material Costs'!$D$3)</f>
        <v/>
      </c>
      <c r="E348" s="9" t="str">
        <f>IF($A348="","",1*'Material Costs'!$D$2)</f>
        <v/>
      </c>
      <c r="F348" s="9" t="str">
        <f>IF($A348="","",IF($C348="Bubble Mailer",2,1)*'Material Costs'!$D$6)</f>
        <v/>
      </c>
      <c r="G348" s="9" t="str">
        <f>IF($A348="","",1*'Material Costs'!$D$7)</f>
        <v/>
      </c>
      <c r="H348" s="9" t="str">
        <f>IF($A348="","",IF($C348="Bubble Mailer",1,0)*'Material Costs'!$D$5)</f>
        <v/>
      </c>
      <c r="I348" s="9" t="str">
        <f>IF($A348="","",IF($C348="ESE (Ding Defend)",1,0)*'Material Costs'!$D$4)</f>
        <v/>
      </c>
      <c r="J348" s="9"/>
      <c r="K348" s="9" t="str">
        <f t="shared" si="45"/>
        <v/>
      </c>
      <c r="L348" s="9"/>
      <c r="M348" s="9"/>
      <c r="N348" s="9"/>
      <c r="O348" s="9" t="str">
        <f t="shared" si="46"/>
        <v/>
      </c>
      <c r="P348" s="9"/>
      <c r="Q348" s="9" t="str">
        <f>IF($A348="","",IF($O348="", "", ROUND($O348*Settings!$B$2+Settings!$B$3,2)))</f>
        <v/>
      </c>
      <c r="R348" s="9" t="str">
        <f>IF($A348="","",IF($L348="", "", Settings!$B$4))</f>
        <v/>
      </c>
      <c r="S348" s="9" t="str">
        <f t="shared" si="47"/>
        <v/>
      </c>
      <c r="T348" s="9" t="str">
        <f t="shared" si="48"/>
        <v/>
      </c>
      <c r="U348" s="9" t="str">
        <f>IF($A348="","",IF($K348="", "", ROUND((($K348 + Settings!$B$3 + $R348) - IF($M348="",0,$M348))/(1-Settings!$B$2),2)))</f>
        <v/>
      </c>
      <c r="V348" s="9" t="str">
        <f>IF($A348="","",$L348-($L348*Settings!$B$2)-$J348-($B348+SUM($D348:$I348)))</f>
        <v/>
      </c>
      <c r="W348" s="9" t="str">
        <f>IF($A348="","",(($B348+SUM($D348:$I348)+$J348+Settings!$B$3)/(1-Settings!$B$2))-$M348)</f>
        <v/>
      </c>
      <c r="X348" s="10" t="str">
        <f t="shared" si="49"/>
        <v/>
      </c>
      <c r="Y348" s="10" t="str">
        <f t="shared" si="50"/>
        <v/>
      </c>
      <c r="Z348" s="10" t="str">
        <f t="shared" si="51"/>
        <v/>
      </c>
      <c r="AA348" s="10" t="str">
        <f t="shared" si="52"/>
        <v/>
      </c>
      <c r="AC348" s="11"/>
      <c r="AD348" s="11"/>
      <c r="AE348" s="12" t="str">
        <f t="shared" si="53"/>
        <v/>
      </c>
    </row>
    <row r="349" spans="2:31" x14ac:dyDescent="0.25">
      <c r="B349" s="9"/>
      <c r="C349" t="s">
        <v>31</v>
      </c>
      <c r="D349" s="9" t="str">
        <f>IF($A349="","",1*'Material Costs'!$D$3)</f>
        <v/>
      </c>
      <c r="E349" s="9" t="str">
        <f>IF($A349="","",1*'Material Costs'!$D$2)</f>
        <v/>
      </c>
      <c r="F349" s="9" t="str">
        <f>IF($A349="","",IF($C349="Bubble Mailer",2,1)*'Material Costs'!$D$6)</f>
        <v/>
      </c>
      <c r="G349" s="9" t="str">
        <f>IF($A349="","",1*'Material Costs'!$D$7)</f>
        <v/>
      </c>
      <c r="H349" s="9" t="str">
        <f>IF($A349="","",IF($C349="Bubble Mailer",1,0)*'Material Costs'!$D$5)</f>
        <v/>
      </c>
      <c r="I349" s="9" t="str">
        <f>IF($A349="","",IF($C349="ESE (Ding Defend)",1,0)*'Material Costs'!$D$4)</f>
        <v/>
      </c>
      <c r="J349" s="9"/>
      <c r="K349" s="9" t="str">
        <f t="shared" si="45"/>
        <v/>
      </c>
      <c r="L349" s="9"/>
      <c r="M349" s="9"/>
      <c r="N349" s="9"/>
      <c r="O349" s="9" t="str">
        <f t="shared" si="46"/>
        <v/>
      </c>
      <c r="P349" s="9"/>
      <c r="Q349" s="9" t="str">
        <f>IF($A349="","",IF($O349="", "", ROUND($O349*Settings!$B$2+Settings!$B$3,2)))</f>
        <v/>
      </c>
      <c r="R349" s="9" t="str">
        <f>IF($A349="","",IF($L349="", "", Settings!$B$4))</f>
        <v/>
      </c>
      <c r="S349" s="9" t="str">
        <f t="shared" si="47"/>
        <v/>
      </c>
      <c r="T349" s="9" t="str">
        <f t="shared" si="48"/>
        <v/>
      </c>
      <c r="U349" s="9" t="str">
        <f>IF($A349="","",IF($K349="", "", ROUND((($K349 + Settings!$B$3 + $R349) - IF($M349="",0,$M349))/(1-Settings!$B$2),2)))</f>
        <v/>
      </c>
      <c r="V349" s="9" t="str">
        <f>IF($A349="","",$L349-($L349*Settings!$B$2)-$J349-($B349+SUM($D349:$I349)))</f>
        <v/>
      </c>
      <c r="W349" s="9" t="str">
        <f>IF($A349="","",(($B349+SUM($D349:$I349)+$J349+Settings!$B$3)/(1-Settings!$B$2))-$M349)</f>
        <v/>
      </c>
      <c r="X349" s="10" t="str">
        <f t="shared" si="49"/>
        <v/>
      </c>
      <c r="Y349" s="10" t="str">
        <f t="shared" si="50"/>
        <v/>
      </c>
      <c r="Z349" s="10" t="str">
        <f t="shared" si="51"/>
        <v/>
      </c>
      <c r="AA349" s="10" t="str">
        <f t="shared" si="52"/>
        <v/>
      </c>
      <c r="AC349" s="11"/>
      <c r="AD349" s="11"/>
      <c r="AE349" s="12" t="str">
        <f t="shared" si="53"/>
        <v/>
      </c>
    </row>
    <row r="350" spans="2:31" x14ac:dyDescent="0.25">
      <c r="B350" s="9"/>
      <c r="C350" t="s">
        <v>31</v>
      </c>
      <c r="D350" s="9" t="str">
        <f>IF($A350="","",1*'Material Costs'!$D$3)</f>
        <v/>
      </c>
      <c r="E350" s="9" t="str">
        <f>IF($A350="","",1*'Material Costs'!$D$2)</f>
        <v/>
      </c>
      <c r="F350" s="9" t="str">
        <f>IF($A350="","",IF($C350="Bubble Mailer",2,1)*'Material Costs'!$D$6)</f>
        <v/>
      </c>
      <c r="G350" s="9" t="str">
        <f>IF($A350="","",1*'Material Costs'!$D$7)</f>
        <v/>
      </c>
      <c r="H350" s="9" t="str">
        <f>IF($A350="","",IF($C350="Bubble Mailer",1,0)*'Material Costs'!$D$5)</f>
        <v/>
      </c>
      <c r="I350" s="9" t="str">
        <f>IF($A350="","",IF($C350="ESE (Ding Defend)",1,0)*'Material Costs'!$D$4)</f>
        <v/>
      </c>
      <c r="J350" s="9"/>
      <c r="K350" s="9" t="str">
        <f t="shared" si="45"/>
        <v/>
      </c>
      <c r="L350" s="9"/>
      <c r="M350" s="9"/>
      <c r="N350" s="9"/>
      <c r="O350" s="9" t="str">
        <f t="shared" si="46"/>
        <v/>
      </c>
      <c r="P350" s="9"/>
      <c r="Q350" s="9" t="str">
        <f>IF($A350="","",IF($O350="", "", ROUND($O350*Settings!$B$2+Settings!$B$3,2)))</f>
        <v/>
      </c>
      <c r="R350" s="9" t="str">
        <f>IF($A350="","",IF($L350="", "", Settings!$B$4))</f>
        <v/>
      </c>
      <c r="S350" s="9" t="str">
        <f t="shared" si="47"/>
        <v/>
      </c>
      <c r="T350" s="9" t="str">
        <f t="shared" si="48"/>
        <v/>
      </c>
      <c r="U350" s="9" t="str">
        <f>IF($A350="","",IF($K350="", "", ROUND((($K350 + Settings!$B$3 + $R350) - IF($M350="",0,$M350))/(1-Settings!$B$2),2)))</f>
        <v/>
      </c>
      <c r="V350" s="9" t="str">
        <f>IF($A350="","",$L350-($L350*Settings!$B$2)-$J350-($B350+SUM($D350:$I350)))</f>
        <v/>
      </c>
      <c r="W350" s="9" t="str">
        <f>IF($A350="","",(($B350+SUM($D350:$I350)+$J350+Settings!$B$3)/(1-Settings!$B$2))-$M350)</f>
        <v/>
      </c>
      <c r="X350" s="10" t="str">
        <f t="shared" si="49"/>
        <v/>
      </c>
      <c r="Y350" s="10" t="str">
        <f t="shared" si="50"/>
        <v/>
      </c>
      <c r="Z350" s="10" t="str">
        <f t="shared" si="51"/>
        <v/>
      </c>
      <c r="AA350" s="10" t="str">
        <f t="shared" si="52"/>
        <v/>
      </c>
      <c r="AC350" s="11"/>
      <c r="AD350" s="11"/>
      <c r="AE350" s="12" t="str">
        <f t="shared" si="53"/>
        <v/>
      </c>
    </row>
    <row r="351" spans="2:31" x14ac:dyDescent="0.25">
      <c r="B351" s="9"/>
      <c r="C351" t="s">
        <v>31</v>
      </c>
      <c r="D351" s="9" t="str">
        <f>IF($A351="","",1*'Material Costs'!$D$3)</f>
        <v/>
      </c>
      <c r="E351" s="9" t="str">
        <f>IF($A351="","",1*'Material Costs'!$D$2)</f>
        <v/>
      </c>
      <c r="F351" s="9" t="str">
        <f>IF($A351="","",IF($C351="Bubble Mailer",2,1)*'Material Costs'!$D$6)</f>
        <v/>
      </c>
      <c r="G351" s="9" t="str">
        <f>IF($A351="","",1*'Material Costs'!$D$7)</f>
        <v/>
      </c>
      <c r="H351" s="9" t="str">
        <f>IF($A351="","",IF($C351="Bubble Mailer",1,0)*'Material Costs'!$D$5)</f>
        <v/>
      </c>
      <c r="I351" s="9" t="str">
        <f>IF($A351="","",IF($C351="ESE (Ding Defend)",1,0)*'Material Costs'!$D$4)</f>
        <v/>
      </c>
      <c r="J351" s="9"/>
      <c r="K351" s="9" t="str">
        <f t="shared" si="45"/>
        <v/>
      </c>
      <c r="L351" s="9"/>
      <c r="M351" s="9"/>
      <c r="N351" s="9"/>
      <c r="O351" s="9" t="str">
        <f t="shared" si="46"/>
        <v/>
      </c>
      <c r="P351" s="9"/>
      <c r="Q351" s="9" t="str">
        <f>IF($A351="","",IF($O351="", "", ROUND($O351*Settings!$B$2+Settings!$B$3,2)))</f>
        <v/>
      </c>
      <c r="R351" s="9" t="str">
        <f>IF($A351="","",IF($L351="", "", Settings!$B$4))</f>
        <v/>
      </c>
      <c r="S351" s="9" t="str">
        <f t="shared" si="47"/>
        <v/>
      </c>
      <c r="T351" s="9" t="str">
        <f t="shared" si="48"/>
        <v/>
      </c>
      <c r="U351" s="9" t="str">
        <f>IF($A351="","",IF($K351="", "", ROUND((($K351 + Settings!$B$3 + $R351) - IF($M351="",0,$M351))/(1-Settings!$B$2),2)))</f>
        <v/>
      </c>
      <c r="V351" s="9" t="str">
        <f>IF($A351="","",$L351-($L351*Settings!$B$2)-$J351-($B351+SUM($D351:$I351)))</f>
        <v/>
      </c>
      <c r="W351" s="9" t="str">
        <f>IF($A351="","",(($B351+SUM($D351:$I351)+$J351+Settings!$B$3)/(1-Settings!$B$2))-$M351)</f>
        <v/>
      </c>
      <c r="X351" s="10" t="str">
        <f t="shared" si="49"/>
        <v/>
      </c>
      <c r="Y351" s="10" t="str">
        <f t="shared" si="50"/>
        <v/>
      </c>
      <c r="Z351" s="10" t="str">
        <f t="shared" si="51"/>
        <v/>
      </c>
      <c r="AA351" s="10" t="str">
        <f t="shared" si="52"/>
        <v/>
      </c>
      <c r="AC351" s="11"/>
      <c r="AD351" s="11"/>
      <c r="AE351" s="12" t="str">
        <f t="shared" si="53"/>
        <v/>
      </c>
    </row>
    <row r="352" spans="2:31" x14ac:dyDescent="0.25">
      <c r="B352" s="9"/>
      <c r="C352" t="s">
        <v>31</v>
      </c>
      <c r="D352" s="9" t="str">
        <f>IF($A352="","",1*'Material Costs'!$D$3)</f>
        <v/>
      </c>
      <c r="E352" s="9" t="str">
        <f>IF($A352="","",1*'Material Costs'!$D$2)</f>
        <v/>
      </c>
      <c r="F352" s="9" t="str">
        <f>IF($A352="","",IF($C352="Bubble Mailer",2,1)*'Material Costs'!$D$6)</f>
        <v/>
      </c>
      <c r="G352" s="9" t="str">
        <f>IF($A352="","",1*'Material Costs'!$D$7)</f>
        <v/>
      </c>
      <c r="H352" s="9" t="str">
        <f>IF($A352="","",IF($C352="Bubble Mailer",1,0)*'Material Costs'!$D$5)</f>
        <v/>
      </c>
      <c r="I352" s="9" t="str">
        <f>IF($A352="","",IF($C352="ESE (Ding Defend)",1,0)*'Material Costs'!$D$4)</f>
        <v/>
      </c>
      <c r="J352" s="9"/>
      <c r="K352" s="9" t="str">
        <f t="shared" si="45"/>
        <v/>
      </c>
      <c r="L352" s="9"/>
      <c r="M352" s="9"/>
      <c r="N352" s="9"/>
      <c r="O352" s="9" t="str">
        <f t="shared" si="46"/>
        <v/>
      </c>
      <c r="P352" s="9"/>
      <c r="Q352" s="9" t="str">
        <f>IF($A352="","",IF($O352="", "", ROUND($O352*Settings!$B$2+Settings!$B$3,2)))</f>
        <v/>
      </c>
      <c r="R352" s="9" t="str">
        <f>IF($A352="","",IF($L352="", "", Settings!$B$4))</f>
        <v/>
      </c>
      <c r="S352" s="9" t="str">
        <f t="shared" si="47"/>
        <v/>
      </c>
      <c r="T352" s="9" t="str">
        <f t="shared" si="48"/>
        <v/>
      </c>
      <c r="U352" s="9" t="str">
        <f>IF($A352="","",IF($K352="", "", ROUND((($K352 + Settings!$B$3 + $R352) - IF($M352="",0,$M352))/(1-Settings!$B$2),2)))</f>
        <v/>
      </c>
      <c r="V352" s="9" t="str">
        <f>IF($A352="","",$L352-($L352*Settings!$B$2)-$J352-($B352+SUM($D352:$I352)))</f>
        <v/>
      </c>
      <c r="W352" s="9" t="str">
        <f>IF($A352="","",(($B352+SUM($D352:$I352)+$J352+Settings!$B$3)/(1-Settings!$B$2))-$M352)</f>
        <v/>
      </c>
      <c r="X352" s="10" t="str">
        <f t="shared" si="49"/>
        <v/>
      </c>
      <c r="Y352" s="10" t="str">
        <f t="shared" si="50"/>
        <v/>
      </c>
      <c r="Z352" s="10" t="str">
        <f t="shared" si="51"/>
        <v/>
      </c>
      <c r="AA352" s="10" t="str">
        <f t="shared" si="52"/>
        <v/>
      </c>
      <c r="AC352" s="11"/>
      <c r="AD352" s="11"/>
      <c r="AE352" s="12" t="str">
        <f t="shared" si="53"/>
        <v/>
      </c>
    </row>
    <row r="353" spans="2:31" x14ac:dyDescent="0.25">
      <c r="B353" s="9"/>
      <c r="C353" t="s">
        <v>31</v>
      </c>
      <c r="D353" s="9" t="str">
        <f>IF($A353="","",1*'Material Costs'!$D$3)</f>
        <v/>
      </c>
      <c r="E353" s="9" t="str">
        <f>IF($A353="","",1*'Material Costs'!$D$2)</f>
        <v/>
      </c>
      <c r="F353" s="9" t="str">
        <f>IF($A353="","",IF($C353="Bubble Mailer",2,1)*'Material Costs'!$D$6)</f>
        <v/>
      </c>
      <c r="G353" s="9" t="str">
        <f>IF($A353="","",1*'Material Costs'!$D$7)</f>
        <v/>
      </c>
      <c r="H353" s="9" t="str">
        <f>IF($A353="","",IF($C353="Bubble Mailer",1,0)*'Material Costs'!$D$5)</f>
        <v/>
      </c>
      <c r="I353" s="9" t="str">
        <f>IF($A353="","",IF($C353="ESE (Ding Defend)",1,0)*'Material Costs'!$D$4)</f>
        <v/>
      </c>
      <c r="J353" s="9"/>
      <c r="K353" s="9" t="str">
        <f t="shared" si="45"/>
        <v/>
      </c>
      <c r="L353" s="9"/>
      <c r="M353" s="9"/>
      <c r="N353" s="9"/>
      <c r="O353" s="9" t="str">
        <f t="shared" si="46"/>
        <v/>
      </c>
      <c r="P353" s="9"/>
      <c r="Q353" s="9" t="str">
        <f>IF($A353="","",IF($O353="", "", ROUND($O353*Settings!$B$2+Settings!$B$3,2)))</f>
        <v/>
      </c>
      <c r="R353" s="9" t="str">
        <f>IF($A353="","",IF($L353="", "", Settings!$B$4))</f>
        <v/>
      </c>
      <c r="S353" s="9" t="str">
        <f t="shared" si="47"/>
        <v/>
      </c>
      <c r="T353" s="9" t="str">
        <f t="shared" si="48"/>
        <v/>
      </c>
      <c r="U353" s="9" t="str">
        <f>IF($A353="","",IF($K353="", "", ROUND((($K353 + Settings!$B$3 + $R353) - IF($M353="",0,$M353))/(1-Settings!$B$2),2)))</f>
        <v/>
      </c>
      <c r="V353" s="9" t="str">
        <f>IF($A353="","",$L353-($L353*Settings!$B$2)-$J353-($B353+SUM($D353:$I353)))</f>
        <v/>
      </c>
      <c r="W353" s="9" t="str">
        <f>IF($A353="","",(($B353+SUM($D353:$I353)+$J353+Settings!$B$3)/(1-Settings!$B$2))-$M353)</f>
        <v/>
      </c>
      <c r="X353" s="10" t="str">
        <f t="shared" si="49"/>
        <v/>
      </c>
      <c r="Y353" s="10" t="str">
        <f t="shared" si="50"/>
        <v/>
      </c>
      <c r="Z353" s="10" t="str">
        <f t="shared" si="51"/>
        <v/>
      </c>
      <c r="AA353" s="10" t="str">
        <f t="shared" si="52"/>
        <v/>
      </c>
      <c r="AC353" s="11"/>
      <c r="AD353" s="11"/>
      <c r="AE353" s="12" t="str">
        <f t="shared" si="53"/>
        <v/>
      </c>
    </row>
    <row r="354" spans="2:31" x14ac:dyDescent="0.25">
      <c r="B354" s="9"/>
      <c r="C354" t="s">
        <v>31</v>
      </c>
      <c r="D354" s="9" t="str">
        <f>IF($A354="","",1*'Material Costs'!$D$3)</f>
        <v/>
      </c>
      <c r="E354" s="9" t="str">
        <f>IF($A354="","",1*'Material Costs'!$D$2)</f>
        <v/>
      </c>
      <c r="F354" s="9" t="str">
        <f>IF($A354="","",IF($C354="Bubble Mailer",2,1)*'Material Costs'!$D$6)</f>
        <v/>
      </c>
      <c r="G354" s="9" t="str">
        <f>IF($A354="","",1*'Material Costs'!$D$7)</f>
        <v/>
      </c>
      <c r="H354" s="9" t="str">
        <f>IF($A354="","",IF($C354="Bubble Mailer",1,0)*'Material Costs'!$D$5)</f>
        <v/>
      </c>
      <c r="I354" s="9" t="str">
        <f>IF($A354="","",IF($C354="ESE (Ding Defend)",1,0)*'Material Costs'!$D$4)</f>
        <v/>
      </c>
      <c r="J354" s="9"/>
      <c r="K354" s="9" t="str">
        <f t="shared" si="45"/>
        <v/>
      </c>
      <c r="L354" s="9"/>
      <c r="M354" s="9"/>
      <c r="N354" s="9"/>
      <c r="O354" s="9" t="str">
        <f t="shared" si="46"/>
        <v/>
      </c>
      <c r="P354" s="9"/>
      <c r="Q354" s="9" t="str">
        <f>IF($A354="","",IF($O354="", "", ROUND($O354*Settings!$B$2+Settings!$B$3,2)))</f>
        <v/>
      </c>
      <c r="R354" s="9" t="str">
        <f>IF($A354="","",IF($L354="", "", Settings!$B$4))</f>
        <v/>
      </c>
      <c r="S354" s="9" t="str">
        <f t="shared" si="47"/>
        <v/>
      </c>
      <c r="T354" s="9" t="str">
        <f t="shared" si="48"/>
        <v/>
      </c>
      <c r="U354" s="9" t="str">
        <f>IF($A354="","",IF($K354="", "", ROUND((($K354 + Settings!$B$3 + $R354) - IF($M354="",0,$M354))/(1-Settings!$B$2),2)))</f>
        <v/>
      </c>
      <c r="V354" s="9" t="str">
        <f>IF($A354="","",$L354-($L354*Settings!$B$2)-$J354-($B354+SUM($D354:$I354)))</f>
        <v/>
      </c>
      <c r="W354" s="9" t="str">
        <f>IF($A354="","",(($B354+SUM($D354:$I354)+$J354+Settings!$B$3)/(1-Settings!$B$2))-$M354)</f>
        <v/>
      </c>
      <c r="X354" s="10" t="str">
        <f t="shared" si="49"/>
        <v/>
      </c>
      <c r="Y354" s="10" t="str">
        <f t="shared" si="50"/>
        <v/>
      </c>
      <c r="Z354" s="10" t="str">
        <f t="shared" si="51"/>
        <v/>
      </c>
      <c r="AA354" s="10" t="str">
        <f t="shared" si="52"/>
        <v/>
      </c>
      <c r="AC354" s="11"/>
      <c r="AD354" s="11"/>
      <c r="AE354" s="12" t="str">
        <f t="shared" si="53"/>
        <v/>
      </c>
    </row>
    <row r="355" spans="2:31" x14ac:dyDescent="0.25">
      <c r="B355" s="9"/>
      <c r="C355" t="s">
        <v>31</v>
      </c>
      <c r="D355" s="9" t="str">
        <f>IF($A355="","",1*'Material Costs'!$D$3)</f>
        <v/>
      </c>
      <c r="E355" s="9" t="str">
        <f>IF($A355="","",1*'Material Costs'!$D$2)</f>
        <v/>
      </c>
      <c r="F355" s="9" t="str">
        <f>IF($A355="","",IF($C355="Bubble Mailer",2,1)*'Material Costs'!$D$6)</f>
        <v/>
      </c>
      <c r="G355" s="9" t="str">
        <f>IF($A355="","",1*'Material Costs'!$D$7)</f>
        <v/>
      </c>
      <c r="H355" s="9" t="str">
        <f>IF($A355="","",IF($C355="Bubble Mailer",1,0)*'Material Costs'!$D$5)</f>
        <v/>
      </c>
      <c r="I355" s="9" t="str">
        <f>IF($A355="","",IF($C355="ESE (Ding Defend)",1,0)*'Material Costs'!$D$4)</f>
        <v/>
      </c>
      <c r="J355" s="9"/>
      <c r="K355" s="9" t="str">
        <f t="shared" si="45"/>
        <v/>
      </c>
      <c r="L355" s="9"/>
      <c r="M355" s="9"/>
      <c r="N355" s="9"/>
      <c r="O355" s="9" t="str">
        <f t="shared" si="46"/>
        <v/>
      </c>
      <c r="P355" s="9"/>
      <c r="Q355" s="9" t="str">
        <f>IF($A355="","",IF($O355="", "", ROUND($O355*Settings!$B$2+Settings!$B$3,2)))</f>
        <v/>
      </c>
      <c r="R355" s="9" t="str">
        <f>IF($A355="","",IF($L355="", "", Settings!$B$4))</f>
        <v/>
      </c>
      <c r="S355" s="9" t="str">
        <f t="shared" si="47"/>
        <v/>
      </c>
      <c r="T355" s="9" t="str">
        <f t="shared" si="48"/>
        <v/>
      </c>
      <c r="U355" s="9" t="str">
        <f>IF($A355="","",IF($K355="", "", ROUND((($K355 + Settings!$B$3 + $R355) - IF($M355="",0,$M355))/(1-Settings!$B$2),2)))</f>
        <v/>
      </c>
      <c r="V355" s="9" t="str">
        <f>IF($A355="","",$L355-($L355*Settings!$B$2)-$J355-($B355+SUM($D355:$I355)))</f>
        <v/>
      </c>
      <c r="W355" s="9" t="str">
        <f>IF($A355="","",(($B355+SUM($D355:$I355)+$J355+Settings!$B$3)/(1-Settings!$B$2))-$M355)</f>
        <v/>
      </c>
      <c r="X355" s="10" t="str">
        <f t="shared" si="49"/>
        <v/>
      </c>
      <c r="Y355" s="10" t="str">
        <f t="shared" si="50"/>
        <v/>
      </c>
      <c r="Z355" s="10" t="str">
        <f t="shared" si="51"/>
        <v/>
      </c>
      <c r="AA355" s="10" t="str">
        <f t="shared" si="52"/>
        <v/>
      </c>
      <c r="AC355" s="11"/>
      <c r="AD355" s="11"/>
      <c r="AE355" s="12" t="str">
        <f t="shared" si="53"/>
        <v/>
      </c>
    </row>
    <row r="356" spans="2:31" x14ac:dyDescent="0.25">
      <c r="B356" s="9"/>
      <c r="C356" t="s">
        <v>31</v>
      </c>
      <c r="D356" s="9" t="str">
        <f>IF($A356="","",1*'Material Costs'!$D$3)</f>
        <v/>
      </c>
      <c r="E356" s="9" t="str">
        <f>IF($A356="","",1*'Material Costs'!$D$2)</f>
        <v/>
      </c>
      <c r="F356" s="9" t="str">
        <f>IF($A356="","",IF($C356="Bubble Mailer",2,1)*'Material Costs'!$D$6)</f>
        <v/>
      </c>
      <c r="G356" s="9" t="str">
        <f>IF($A356="","",1*'Material Costs'!$D$7)</f>
        <v/>
      </c>
      <c r="H356" s="9" t="str">
        <f>IF($A356="","",IF($C356="Bubble Mailer",1,0)*'Material Costs'!$D$5)</f>
        <v/>
      </c>
      <c r="I356" s="9" t="str">
        <f>IF($A356="","",IF($C356="ESE (Ding Defend)",1,0)*'Material Costs'!$D$4)</f>
        <v/>
      </c>
      <c r="J356" s="9"/>
      <c r="K356" s="9" t="str">
        <f t="shared" si="45"/>
        <v/>
      </c>
      <c r="L356" s="9"/>
      <c r="M356" s="9"/>
      <c r="N356" s="9"/>
      <c r="O356" s="9" t="str">
        <f t="shared" si="46"/>
        <v/>
      </c>
      <c r="P356" s="9"/>
      <c r="Q356" s="9" t="str">
        <f>IF($A356="","",IF($O356="", "", ROUND($O356*Settings!$B$2+Settings!$B$3,2)))</f>
        <v/>
      </c>
      <c r="R356" s="9" t="str">
        <f>IF($A356="","",IF($L356="", "", Settings!$B$4))</f>
        <v/>
      </c>
      <c r="S356" s="9" t="str">
        <f t="shared" si="47"/>
        <v/>
      </c>
      <c r="T356" s="9" t="str">
        <f t="shared" si="48"/>
        <v/>
      </c>
      <c r="U356" s="9" t="str">
        <f>IF($A356="","",IF($K356="", "", ROUND((($K356 + Settings!$B$3 + $R356) - IF($M356="",0,$M356))/(1-Settings!$B$2),2)))</f>
        <v/>
      </c>
      <c r="V356" s="9" t="str">
        <f>IF($A356="","",$L356-($L356*Settings!$B$2)-$J356-($B356+SUM($D356:$I356)))</f>
        <v/>
      </c>
      <c r="W356" s="9" t="str">
        <f>IF($A356="","",(($B356+SUM($D356:$I356)+$J356+Settings!$B$3)/(1-Settings!$B$2))-$M356)</f>
        <v/>
      </c>
      <c r="X356" s="10" t="str">
        <f t="shared" si="49"/>
        <v/>
      </c>
      <c r="Y356" s="10" t="str">
        <f t="shared" si="50"/>
        <v/>
      </c>
      <c r="Z356" s="10" t="str">
        <f t="shared" si="51"/>
        <v/>
      </c>
      <c r="AA356" s="10" t="str">
        <f t="shared" si="52"/>
        <v/>
      </c>
      <c r="AC356" s="11"/>
      <c r="AD356" s="11"/>
      <c r="AE356" s="12" t="str">
        <f t="shared" si="53"/>
        <v/>
      </c>
    </row>
    <row r="357" spans="2:31" x14ac:dyDescent="0.25">
      <c r="B357" s="9"/>
      <c r="C357" t="s">
        <v>31</v>
      </c>
      <c r="D357" s="9" t="str">
        <f>IF($A357="","",1*'Material Costs'!$D$3)</f>
        <v/>
      </c>
      <c r="E357" s="9" t="str">
        <f>IF($A357="","",1*'Material Costs'!$D$2)</f>
        <v/>
      </c>
      <c r="F357" s="9" t="str">
        <f>IF($A357="","",IF($C357="Bubble Mailer",2,1)*'Material Costs'!$D$6)</f>
        <v/>
      </c>
      <c r="G357" s="9" t="str">
        <f>IF($A357="","",1*'Material Costs'!$D$7)</f>
        <v/>
      </c>
      <c r="H357" s="9" t="str">
        <f>IF($A357="","",IF($C357="Bubble Mailer",1,0)*'Material Costs'!$D$5)</f>
        <v/>
      </c>
      <c r="I357" s="9" t="str">
        <f>IF($A357="","",IF($C357="ESE (Ding Defend)",1,0)*'Material Costs'!$D$4)</f>
        <v/>
      </c>
      <c r="J357" s="9"/>
      <c r="K357" s="9" t="str">
        <f t="shared" si="45"/>
        <v/>
      </c>
      <c r="L357" s="9"/>
      <c r="M357" s="9"/>
      <c r="N357" s="9"/>
      <c r="O357" s="9" t="str">
        <f t="shared" si="46"/>
        <v/>
      </c>
      <c r="P357" s="9"/>
      <c r="Q357" s="9" t="str">
        <f>IF($A357="","",IF($O357="", "", ROUND($O357*Settings!$B$2+Settings!$B$3,2)))</f>
        <v/>
      </c>
      <c r="R357" s="9" t="str">
        <f>IF($A357="","",IF($L357="", "", Settings!$B$4))</f>
        <v/>
      </c>
      <c r="S357" s="9" t="str">
        <f t="shared" si="47"/>
        <v/>
      </c>
      <c r="T357" s="9" t="str">
        <f t="shared" si="48"/>
        <v/>
      </c>
      <c r="U357" s="9" t="str">
        <f>IF($A357="","",IF($K357="", "", ROUND((($K357 + Settings!$B$3 + $R357) - IF($M357="",0,$M357))/(1-Settings!$B$2),2)))</f>
        <v/>
      </c>
      <c r="V357" s="9" t="str">
        <f>IF($A357="","",$L357-($L357*Settings!$B$2)-$J357-($B357+SUM($D357:$I357)))</f>
        <v/>
      </c>
      <c r="W357" s="9" t="str">
        <f>IF($A357="","",(($B357+SUM($D357:$I357)+$J357+Settings!$B$3)/(1-Settings!$B$2))-$M357)</f>
        <v/>
      </c>
      <c r="X357" s="10" t="str">
        <f t="shared" si="49"/>
        <v/>
      </c>
      <c r="Y357" s="10" t="str">
        <f t="shared" si="50"/>
        <v/>
      </c>
      <c r="Z357" s="10" t="str">
        <f t="shared" si="51"/>
        <v/>
      </c>
      <c r="AA357" s="10" t="str">
        <f t="shared" si="52"/>
        <v/>
      </c>
      <c r="AC357" s="11"/>
      <c r="AD357" s="11"/>
      <c r="AE357" s="12" t="str">
        <f t="shared" si="53"/>
        <v/>
      </c>
    </row>
    <row r="358" spans="2:31" x14ac:dyDescent="0.25">
      <c r="B358" s="9"/>
      <c r="C358" t="s">
        <v>31</v>
      </c>
      <c r="D358" s="9" t="str">
        <f>IF($A358="","",1*'Material Costs'!$D$3)</f>
        <v/>
      </c>
      <c r="E358" s="9" t="str">
        <f>IF($A358="","",1*'Material Costs'!$D$2)</f>
        <v/>
      </c>
      <c r="F358" s="9" t="str">
        <f>IF($A358="","",IF($C358="Bubble Mailer",2,1)*'Material Costs'!$D$6)</f>
        <v/>
      </c>
      <c r="G358" s="9" t="str">
        <f>IF($A358="","",1*'Material Costs'!$D$7)</f>
        <v/>
      </c>
      <c r="H358" s="9" t="str">
        <f>IF($A358="","",IF($C358="Bubble Mailer",1,0)*'Material Costs'!$D$5)</f>
        <v/>
      </c>
      <c r="I358" s="9" t="str">
        <f>IF($A358="","",IF($C358="ESE (Ding Defend)",1,0)*'Material Costs'!$D$4)</f>
        <v/>
      </c>
      <c r="J358" s="9"/>
      <c r="K358" s="9" t="str">
        <f t="shared" si="45"/>
        <v/>
      </c>
      <c r="L358" s="9"/>
      <c r="M358" s="9"/>
      <c r="N358" s="9"/>
      <c r="O358" s="9" t="str">
        <f t="shared" si="46"/>
        <v/>
      </c>
      <c r="P358" s="9"/>
      <c r="Q358" s="9" t="str">
        <f>IF($A358="","",IF($O358="", "", ROUND($O358*Settings!$B$2+Settings!$B$3,2)))</f>
        <v/>
      </c>
      <c r="R358" s="9" t="str">
        <f>IF($A358="","",IF($L358="", "", Settings!$B$4))</f>
        <v/>
      </c>
      <c r="S358" s="9" t="str">
        <f t="shared" si="47"/>
        <v/>
      </c>
      <c r="T358" s="9" t="str">
        <f t="shared" si="48"/>
        <v/>
      </c>
      <c r="U358" s="9" t="str">
        <f>IF($A358="","",IF($K358="", "", ROUND((($K358 + Settings!$B$3 + $R358) - IF($M358="",0,$M358))/(1-Settings!$B$2),2)))</f>
        <v/>
      </c>
      <c r="V358" s="9" t="str">
        <f>IF($A358="","",$L358-($L358*Settings!$B$2)-$J358-($B358+SUM($D358:$I358)))</f>
        <v/>
      </c>
      <c r="W358" s="9" t="str">
        <f>IF($A358="","",(($B358+SUM($D358:$I358)+$J358+Settings!$B$3)/(1-Settings!$B$2))-$M358)</f>
        <v/>
      </c>
      <c r="X358" s="10" t="str">
        <f t="shared" si="49"/>
        <v/>
      </c>
      <c r="Y358" s="10" t="str">
        <f t="shared" si="50"/>
        <v/>
      </c>
      <c r="Z358" s="10" t="str">
        <f t="shared" si="51"/>
        <v/>
      </c>
      <c r="AA358" s="10" t="str">
        <f t="shared" si="52"/>
        <v/>
      </c>
      <c r="AC358" s="11"/>
      <c r="AD358" s="11"/>
      <c r="AE358" s="12" t="str">
        <f t="shared" si="53"/>
        <v/>
      </c>
    </row>
    <row r="359" spans="2:31" x14ac:dyDescent="0.25">
      <c r="B359" s="9"/>
      <c r="C359" t="s">
        <v>31</v>
      </c>
      <c r="D359" s="9" t="str">
        <f>IF($A359="","",1*'Material Costs'!$D$3)</f>
        <v/>
      </c>
      <c r="E359" s="9" t="str">
        <f>IF($A359="","",1*'Material Costs'!$D$2)</f>
        <v/>
      </c>
      <c r="F359" s="9" t="str">
        <f>IF($A359="","",IF($C359="Bubble Mailer",2,1)*'Material Costs'!$D$6)</f>
        <v/>
      </c>
      <c r="G359" s="9" t="str">
        <f>IF($A359="","",1*'Material Costs'!$D$7)</f>
        <v/>
      </c>
      <c r="H359" s="9" t="str">
        <f>IF($A359="","",IF($C359="Bubble Mailer",1,0)*'Material Costs'!$D$5)</f>
        <v/>
      </c>
      <c r="I359" s="9" t="str">
        <f>IF($A359="","",IF($C359="ESE (Ding Defend)",1,0)*'Material Costs'!$D$4)</f>
        <v/>
      </c>
      <c r="J359" s="9"/>
      <c r="K359" s="9" t="str">
        <f t="shared" si="45"/>
        <v/>
      </c>
      <c r="L359" s="9"/>
      <c r="M359" s="9"/>
      <c r="N359" s="9"/>
      <c r="O359" s="9" t="str">
        <f t="shared" si="46"/>
        <v/>
      </c>
      <c r="P359" s="9"/>
      <c r="Q359" s="9" t="str">
        <f>IF($A359="","",IF($O359="", "", ROUND($O359*Settings!$B$2+Settings!$B$3,2)))</f>
        <v/>
      </c>
      <c r="R359" s="9" t="str">
        <f>IF($A359="","",IF($L359="", "", Settings!$B$4))</f>
        <v/>
      </c>
      <c r="S359" s="9" t="str">
        <f t="shared" si="47"/>
        <v/>
      </c>
      <c r="T359" s="9" t="str">
        <f t="shared" si="48"/>
        <v/>
      </c>
      <c r="U359" s="9" t="str">
        <f>IF($A359="","",IF($K359="", "", ROUND((($K359 + Settings!$B$3 + $R359) - IF($M359="",0,$M359))/(1-Settings!$B$2),2)))</f>
        <v/>
      </c>
      <c r="V359" s="9" t="str">
        <f>IF($A359="","",$L359-($L359*Settings!$B$2)-$J359-($B359+SUM($D359:$I359)))</f>
        <v/>
      </c>
      <c r="W359" s="9" t="str">
        <f>IF($A359="","",(($B359+SUM($D359:$I359)+$J359+Settings!$B$3)/(1-Settings!$B$2))-$M359)</f>
        <v/>
      </c>
      <c r="X359" s="10" t="str">
        <f t="shared" si="49"/>
        <v/>
      </c>
      <c r="Y359" s="10" t="str">
        <f t="shared" si="50"/>
        <v/>
      </c>
      <c r="Z359" s="10" t="str">
        <f t="shared" si="51"/>
        <v/>
      </c>
      <c r="AA359" s="10" t="str">
        <f t="shared" si="52"/>
        <v/>
      </c>
      <c r="AC359" s="11"/>
      <c r="AD359" s="11"/>
      <c r="AE359" s="12" t="str">
        <f t="shared" si="53"/>
        <v/>
      </c>
    </row>
    <row r="360" spans="2:31" x14ac:dyDescent="0.25">
      <c r="B360" s="9"/>
      <c r="C360" t="s">
        <v>31</v>
      </c>
      <c r="D360" s="9" t="str">
        <f>IF($A360="","",1*'Material Costs'!$D$3)</f>
        <v/>
      </c>
      <c r="E360" s="9" t="str">
        <f>IF($A360="","",1*'Material Costs'!$D$2)</f>
        <v/>
      </c>
      <c r="F360" s="9" t="str">
        <f>IF($A360="","",IF($C360="Bubble Mailer",2,1)*'Material Costs'!$D$6)</f>
        <v/>
      </c>
      <c r="G360" s="9" t="str">
        <f>IF($A360="","",1*'Material Costs'!$D$7)</f>
        <v/>
      </c>
      <c r="H360" s="9" t="str">
        <f>IF($A360="","",IF($C360="Bubble Mailer",1,0)*'Material Costs'!$D$5)</f>
        <v/>
      </c>
      <c r="I360" s="9" t="str">
        <f>IF($A360="","",IF($C360="ESE (Ding Defend)",1,0)*'Material Costs'!$D$4)</f>
        <v/>
      </c>
      <c r="J360" s="9"/>
      <c r="K360" s="9" t="str">
        <f t="shared" si="45"/>
        <v/>
      </c>
      <c r="L360" s="9"/>
      <c r="M360" s="9"/>
      <c r="N360" s="9"/>
      <c r="O360" s="9" t="str">
        <f t="shared" si="46"/>
        <v/>
      </c>
      <c r="P360" s="9"/>
      <c r="Q360" s="9" t="str">
        <f>IF($A360="","",IF($O360="", "", ROUND($O360*Settings!$B$2+Settings!$B$3,2)))</f>
        <v/>
      </c>
      <c r="R360" s="9" t="str">
        <f>IF($A360="","",IF($L360="", "", Settings!$B$4))</f>
        <v/>
      </c>
      <c r="S360" s="9" t="str">
        <f t="shared" si="47"/>
        <v/>
      </c>
      <c r="T360" s="9" t="str">
        <f t="shared" si="48"/>
        <v/>
      </c>
      <c r="U360" s="9" t="str">
        <f>IF($A360="","",IF($K360="", "", ROUND((($K360 + Settings!$B$3 + $R360) - IF($M360="",0,$M360))/(1-Settings!$B$2),2)))</f>
        <v/>
      </c>
      <c r="V360" s="9" t="str">
        <f>IF($A360="","",$L360-($L360*Settings!$B$2)-$J360-($B360+SUM($D360:$I360)))</f>
        <v/>
      </c>
      <c r="W360" s="9" t="str">
        <f>IF($A360="","",(($B360+SUM($D360:$I360)+$J360+Settings!$B$3)/(1-Settings!$B$2))-$M360)</f>
        <v/>
      </c>
      <c r="X360" s="10" t="str">
        <f t="shared" si="49"/>
        <v/>
      </c>
      <c r="Y360" s="10" t="str">
        <f t="shared" si="50"/>
        <v/>
      </c>
      <c r="Z360" s="10" t="str">
        <f t="shared" si="51"/>
        <v/>
      </c>
      <c r="AA360" s="10" t="str">
        <f t="shared" si="52"/>
        <v/>
      </c>
      <c r="AC360" s="11"/>
      <c r="AD360" s="11"/>
      <c r="AE360" s="12" t="str">
        <f t="shared" si="53"/>
        <v/>
      </c>
    </row>
    <row r="361" spans="2:31" x14ac:dyDescent="0.25">
      <c r="B361" s="9"/>
      <c r="C361" t="s">
        <v>31</v>
      </c>
      <c r="D361" s="9" t="str">
        <f>IF($A361="","",1*'Material Costs'!$D$3)</f>
        <v/>
      </c>
      <c r="E361" s="9" t="str">
        <f>IF($A361="","",1*'Material Costs'!$D$2)</f>
        <v/>
      </c>
      <c r="F361" s="9" t="str">
        <f>IF($A361="","",IF($C361="Bubble Mailer",2,1)*'Material Costs'!$D$6)</f>
        <v/>
      </c>
      <c r="G361" s="9" t="str">
        <f>IF($A361="","",1*'Material Costs'!$D$7)</f>
        <v/>
      </c>
      <c r="H361" s="9" t="str">
        <f>IF($A361="","",IF($C361="Bubble Mailer",1,0)*'Material Costs'!$D$5)</f>
        <v/>
      </c>
      <c r="I361" s="9" t="str">
        <f>IF($A361="","",IF($C361="ESE (Ding Defend)",1,0)*'Material Costs'!$D$4)</f>
        <v/>
      </c>
      <c r="J361" s="9"/>
      <c r="K361" s="9" t="str">
        <f t="shared" si="45"/>
        <v/>
      </c>
      <c r="L361" s="9"/>
      <c r="M361" s="9"/>
      <c r="N361" s="9"/>
      <c r="O361" s="9" t="str">
        <f t="shared" si="46"/>
        <v/>
      </c>
      <c r="P361" s="9"/>
      <c r="Q361" s="9" t="str">
        <f>IF($A361="","",IF($O361="", "", ROUND($O361*Settings!$B$2+Settings!$B$3,2)))</f>
        <v/>
      </c>
      <c r="R361" s="9" t="str">
        <f>IF($A361="","",IF($L361="", "", Settings!$B$4))</f>
        <v/>
      </c>
      <c r="S361" s="9" t="str">
        <f t="shared" si="47"/>
        <v/>
      </c>
      <c r="T361" s="9" t="str">
        <f t="shared" si="48"/>
        <v/>
      </c>
      <c r="U361" s="9" t="str">
        <f>IF($A361="","",IF($K361="", "", ROUND((($K361 + Settings!$B$3 + $R361) - IF($M361="",0,$M361))/(1-Settings!$B$2),2)))</f>
        <v/>
      </c>
      <c r="V361" s="9" t="str">
        <f>IF($A361="","",$L361-($L361*Settings!$B$2)-$J361-($B361+SUM($D361:$I361)))</f>
        <v/>
      </c>
      <c r="W361" s="9" t="str">
        <f>IF($A361="","",(($B361+SUM($D361:$I361)+$J361+Settings!$B$3)/(1-Settings!$B$2))-$M361)</f>
        <v/>
      </c>
      <c r="X361" s="10" t="str">
        <f t="shared" si="49"/>
        <v/>
      </c>
      <c r="Y361" s="10" t="str">
        <f t="shared" si="50"/>
        <v/>
      </c>
      <c r="Z361" s="10" t="str">
        <f t="shared" si="51"/>
        <v/>
      </c>
      <c r="AA361" s="10" t="str">
        <f t="shared" si="52"/>
        <v/>
      </c>
      <c r="AC361" s="11"/>
      <c r="AD361" s="11"/>
      <c r="AE361" s="12" t="str">
        <f t="shared" si="53"/>
        <v/>
      </c>
    </row>
    <row r="362" spans="2:31" x14ac:dyDescent="0.25">
      <c r="B362" s="9"/>
      <c r="C362" t="s">
        <v>31</v>
      </c>
      <c r="D362" s="9" t="str">
        <f>IF($A362="","",1*'Material Costs'!$D$3)</f>
        <v/>
      </c>
      <c r="E362" s="9" t="str">
        <f>IF($A362="","",1*'Material Costs'!$D$2)</f>
        <v/>
      </c>
      <c r="F362" s="9" t="str">
        <f>IF($A362="","",IF($C362="Bubble Mailer",2,1)*'Material Costs'!$D$6)</f>
        <v/>
      </c>
      <c r="G362" s="9" t="str">
        <f>IF($A362="","",1*'Material Costs'!$D$7)</f>
        <v/>
      </c>
      <c r="H362" s="9" t="str">
        <f>IF($A362="","",IF($C362="Bubble Mailer",1,0)*'Material Costs'!$D$5)</f>
        <v/>
      </c>
      <c r="I362" s="9" t="str">
        <f>IF($A362="","",IF($C362="ESE (Ding Defend)",1,0)*'Material Costs'!$D$4)</f>
        <v/>
      </c>
      <c r="J362" s="9"/>
      <c r="K362" s="9" t="str">
        <f t="shared" si="45"/>
        <v/>
      </c>
      <c r="L362" s="9"/>
      <c r="M362" s="9"/>
      <c r="N362" s="9"/>
      <c r="O362" s="9" t="str">
        <f t="shared" si="46"/>
        <v/>
      </c>
      <c r="P362" s="9"/>
      <c r="Q362" s="9" t="str">
        <f>IF($A362="","",IF($O362="", "", ROUND($O362*Settings!$B$2+Settings!$B$3,2)))</f>
        <v/>
      </c>
      <c r="R362" s="9" t="str">
        <f>IF($A362="","",IF($L362="", "", Settings!$B$4))</f>
        <v/>
      </c>
      <c r="S362" s="9" t="str">
        <f t="shared" si="47"/>
        <v/>
      </c>
      <c r="T362" s="9" t="str">
        <f t="shared" si="48"/>
        <v/>
      </c>
      <c r="U362" s="9" t="str">
        <f>IF($A362="","",IF($K362="", "", ROUND((($K362 + Settings!$B$3 + $R362) - IF($M362="",0,$M362))/(1-Settings!$B$2),2)))</f>
        <v/>
      </c>
      <c r="V362" s="9" t="str">
        <f>IF($A362="","",$L362-($L362*Settings!$B$2)-$J362-($B362+SUM($D362:$I362)))</f>
        <v/>
      </c>
      <c r="W362" s="9" t="str">
        <f>IF($A362="","",(($B362+SUM($D362:$I362)+$J362+Settings!$B$3)/(1-Settings!$B$2))-$M362)</f>
        <v/>
      </c>
      <c r="X362" s="10" t="str">
        <f t="shared" si="49"/>
        <v/>
      </c>
      <c r="Y362" s="10" t="str">
        <f t="shared" si="50"/>
        <v/>
      </c>
      <c r="Z362" s="10" t="str">
        <f t="shared" si="51"/>
        <v/>
      </c>
      <c r="AA362" s="10" t="str">
        <f t="shared" si="52"/>
        <v/>
      </c>
      <c r="AC362" s="11"/>
      <c r="AD362" s="11"/>
      <c r="AE362" s="12" t="str">
        <f t="shared" si="53"/>
        <v/>
      </c>
    </row>
    <row r="363" spans="2:31" x14ac:dyDescent="0.25">
      <c r="B363" s="9"/>
      <c r="C363" t="s">
        <v>31</v>
      </c>
      <c r="D363" s="9" t="str">
        <f>IF($A363="","",1*'Material Costs'!$D$3)</f>
        <v/>
      </c>
      <c r="E363" s="9" t="str">
        <f>IF($A363="","",1*'Material Costs'!$D$2)</f>
        <v/>
      </c>
      <c r="F363" s="9" t="str">
        <f>IF($A363="","",IF($C363="Bubble Mailer",2,1)*'Material Costs'!$D$6)</f>
        <v/>
      </c>
      <c r="G363" s="9" t="str">
        <f>IF($A363="","",1*'Material Costs'!$D$7)</f>
        <v/>
      </c>
      <c r="H363" s="9" t="str">
        <f>IF($A363="","",IF($C363="Bubble Mailer",1,0)*'Material Costs'!$D$5)</f>
        <v/>
      </c>
      <c r="I363" s="9" t="str">
        <f>IF($A363="","",IF($C363="ESE (Ding Defend)",1,0)*'Material Costs'!$D$4)</f>
        <v/>
      </c>
      <c r="J363" s="9"/>
      <c r="K363" s="9" t="str">
        <f t="shared" si="45"/>
        <v/>
      </c>
      <c r="L363" s="9"/>
      <c r="M363" s="9"/>
      <c r="N363" s="9"/>
      <c r="O363" s="9" t="str">
        <f t="shared" si="46"/>
        <v/>
      </c>
      <c r="P363" s="9"/>
      <c r="Q363" s="9" t="str">
        <f>IF($A363="","",IF($O363="", "", ROUND($O363*Settings!$B$2+Settings!$B$3,2)))</f>
        <v/>
      </c>
      <c r="R363" s="9" t="str">
        <f>IF($A363="","",IF($L363="", "", Settings!$B$4))</f>
        <v/>
      </c>
      <c r="S363" s="9" t="str">
        <f t="shared" si="47"/>
        <v/>
      </c>
      <c r="T363" s="9" t="str">
        <f t="shared" si="48"/>
        <v/>
      </c>
      <c r="U363" s="9" t="str">
        <f>IF($A363="","",IF($K363="", "", ROUND((($K363 + Settings!$B$3 + $R363) - IF($M363="",0,$M363))/(1-Settings!$B$2),2)))</f>
        <v/>
      </c>
      <c r="V363" s="9" t="str">
        <f>IF($A363="","",$L363-($L363*Settings!$B$2)-$J363-($B363+SUM($D363:$I363)))</f>
        <v/>
      </c>
      <c r="W363" s="9" t="str">
        <f>IF($A363="","",(($B363+SUM($D363:$I363)+$J363+Settings!$B$3)/(1-Settings!$B$2))-$M363)</f>
        <v/>
      </c>
      <c r="X363" s="10" t="str">
        <f t="shared" si="49"/>
        <v/>
      </c>
      <c r="Y363" s="10" t="str">
        <f t="shared" si="50"/>
        <v/>
      </c>
      <c r="Z363" s="10" t="str">
        <f t="shared" si="51"/>
        <v/>
      </c>
      <c r="AA363" s="10" t="str">
        <f t="shared" si="52"/>
        <v/>
      </c>
      <c r="AC363" s="11"/>
      <c r="AD363" s="11"/>
      <c r="AE363" s="12" t="str">
        <f t="shared" si="53"/>
        <v/>
      </c>
    </row>
    <row r="364" spans="2:31" x14ac:dyDescent="0.25">
      <c r="B364" s="9"/>
      <c r="C364" t="s">
        <v>31</v>
      </c>
      <c r="D364" s="9" t="str">
        <f>IF($A364="","",1*'Material Costs'!$D$3)</f>
        <v/>
      </c>
      <c r="E364" s="9" t="str">
        <f>IF($A364="","",1*'Material Costs'!$D$2)</f>
        <v/>
      </c>
      <c r="F364" s="9" t="str">
        <f>IF($A364="","",IF($C364="Bubble Mailer",2,1)*'Material Costs'!$D$6)</f>
        <v/>
      </c>
      <c r="G364" s="9" t="str">
        <f>IF($A364="","",1*'Material Costs'!$D$7)</f>
        <v/>
      </c>
      <c r="H364" s="9" t="str">
        <f>IF($A364="","",IF($C364="Bubble Mailer",1,0)*'Material Costs'!$D$5)</f>
        <v/>
      </c>
      <c r="I364" s="9" t="str">
        <f>IF($A364="","",IF($C364="ESE (Ding Defend)",1,0)*'Material Costs'!$D$4)</f>
        <v/>
      </c>
      <c r="J364" s="9"/>
      <c r="K364" s="9" t="str">
        <f t="shared" si="45"/>
        <v/>
      </c>
      <c r="L364" s="9"/>
      <c r="M364" s="9"/>
      <c r="N364" s="9"/>
      <c r="O364" s="9" t="str">
        <f t="shared" si="46"/>
        <v/>
      </c>
      <c r="P364" s="9"/>
      <c r="Q364" s="9" t="str">
        <f>IF($A364="","",IF($O364="", "", ROUND($O364*Settings!$B$2+Settings!$B$3,2)))</f>
        <v/>
      </c>
      <c r="R364" s="9" t="str">
        <f>IF($A364="","",IF($L364="", "", Settings!$B$4))</f>
        <v/>
      </c>
      <c r="S364" s="9" t="str">
        <f t="shared" si="47"/>
        <v/>
      </c>
      <c r="T364" s="9" t="str">
        <f t="shared" si="48"/>
        <v/>
      </c>
      <c r="U364" s="9" t="str">
        <f>IF($A364="","",IF($K364="", "", ROUND((($K364 + Settings!$B$3 + $R364) - IF($M364="",0,$M364))/(1-Settings!$B$2),2)))</f>
        <v/>
      </c>
      <c r="V364" s="9" t="str">
        <f>IF($A364="","",$L364-($L364*Settings!$B$2)-$J364-($B364+SUM($D364:$I364)))</f>
        <v/>
      </c>
      <c r="W364" s="9" t="str">
        <f>IF($A364="","",(($B364+SUM($D364:$I364)+$J364+Settings!$B$3)/(1-Settings!$B$2))-$M364)</f>
        <v/>
      </c>
      <c r="X364" s="10" t="str">
        <f t="shared" si="49"/>
        <v/>
      </c>
      <c r="Y364" s="10" t="str">
        <f t="shared" si="50"/>
        <v/>
      </c>
      <c r="Z364" s="10" t="str">
        <f t="shared" si="51"/>
        <v/>
      </c>
      <c r="AA364" s="10" t="str">
        <f t="shared" si="52"/>
        <v/>
      </c>
      <c r="AC364" s="11"/>
      <c r="AD364" s="11"/>
      <c r="AE364" s="12" t="str">
        <f t="shared" si="53"/>
        <v/>
      </c>
    </row>
    <row r="365" spans="2:31" x14ac:dyDescent="0.25">
      <c r="B365" s="9"/>
      <c r="C365" t="s">
        <v>31</v>
      </c>
      <c r="D365" s="9" t="str">
        <f>IF($A365="","",1*'Material Costs'!$D$3)</f>
        <v/>
      </c>
      <c r="E365" s="9" t="str">
        <f>IF($A365="","",1*'Material Costs'!$D$2)</f>
        <v/>
      </c>
      <c r="F365" s="9" t="str">
        <f>IF($A365="","",IF($C365="Bubble Mailer",2,1)*'Material Costs'!$D$6)</f>
        <v/>
      </c>
      <c r="G365" s="9" t="str">
        <f>IF($A365="","",1*'Material Costs'!$D$7)</f>
        <v/>
      </c>
      <c r="H365" s="9" t="str">
        <f>IF($A365="","",IF($C365="Bubble Mailer",1,0)*'Material Costs'!$D$5)</f>
        <v/>
      </c>
      <c r="I365" s="9" t="str">
        <f>IF($A365="","",IF($C365="ESE (Ding Defend)",1,0)*'Material Costs'!$D$4)</f>
        <v/>
      </c>
      <c r="J365" s="9"/>
      <c r="K365" s="9" t="str">
        <f t="shared" si="45"/>
        <v/>
      </c>
      <c r="L365" s="9"/>
      <c r="M365" s="9"/>
      <c r="N365" s="9"/>
      <c r="O365" s="9" t="str">
        <f t="shared" si="46"/>
        <v/>
      </c>
      <c r="P365" s="9"/>
      <c r="Q365" s="9" t="str">
        <f>IF($A365="","",IF($O365="", "", ROUND($O365*Settings!$B$2+Settings!$B$3,2)))</f>
        <v/>
      </c>
      <c r="R365" s="9" t="str">
        <f>IF($A365="","",IF($L365="", "", Settings!$B$4))</f>
        <v/>
      </c>
      <c r="S365" s="9" t="str">
        <f t="shared" si="47"/>
        <v/>
      </c>
      <c r="T365" s="9" t="str">
        <f t="shared" si="48"/>
        <v/>
      </c>
      <c r="U365" s="9" t="str">
        <f>IF($A365="","",IF($K365="", "", ROUND((($K365 + Settings!$B$3 + $R365) - IF($M365="",0,$M365))/(1-Settings!$B$2),2)))</f>
        <v/>
      </c>
      <c r="V365" s="9" t="str">
        <f>IF($A365="","",$L365-($L365*Settings!$B$2)-$J365-($B365+SUM($D365:$I365)))</f>
        <v/>
      </c>
      <c r="W365" s="9" t="str">
        <f>IF($A365="","",(($B365+SUM($D365:$I365)+$J365+Settings!$B$3)/(1-Settings!$B$2))-$M365)</f>
        <v/>
      </c>
      <c r="X365" s="10" t="str">
        <f t="shared" si="49"/>
        <v/>
      </c>
      <c r="Y365" s="10" t="str">
        <f t="shared" si="50"/>
        <v/>
      </c>
      <c r="Z365" s="10" t="str">
        <f t="shared" si="51"/>
        <v/>
      </c>
      <c r="AA365" s="10" t="str">
        <f t="shared" si="52"/>
        <v/>
      </c>
      <c r="AC365" s="11"/>
      <c r="AD365" s="11"/>
      <c r="AE365" s="12" t="str">
        <f t="shared" si="53"/>
        <v/>
      </c>
    </row>
    <row r="366" spans="2:31" x14ac:dyDescent="0.25">
      <c r="B366" s="9"/>
      <c r="C366" t="s">
        <v>31</v>
      </c>
      <c r="D366" s="9" t="str">
        <f>IF($A366="","",1*'Material Costs'!$D$3)</f>
        <v/>
      </c>
      <c r="E366" s="9" t="str">
        <f>IF($A366="","",1*'Material Costs'!$D$2)</f>
        <v/>
      </c>
      <c r="F366" s="9" t="str">
        <f>IF($A366="","",IF($C366="Bubble Mailer",2,1)*'Material Costs'!$D$6)</f>
        <v/>
      </c>
      <c r="G366" s="9" t="str">
        <f>IF($A366="","",1*'Material Costs'!$D$7)</f>
        <v/>
      </c>
      <c r="H366" s="9" t="str">
        <f>IF($A366="","",IF($C366="Bubble Mailer",1,0)*'Material Costs'!$D$5)</f>
        <v/>
      </c>
      <c r="I366" s="9" t="str">
        <f>IF($A366="","",IF($C366="ESE (Ding Defend)",1,0)*'Material Costs'!$D$4)</f>
        <v/>
      </c>
      <c r="J366" s="9"/>
      <c r="K366" s="9" t="str">
        <f t="shared" si="45"/>
        <v/>
      </c>
      <c r="L366" s="9"/>
      <c r="M366" s="9"/>
      <c r="N366" s="9"/>
      <c r="O366" s="9" t="str">
        <f t="shared" si="46"/>
        <v/>
      </c>
      <c r="P366" s="9"/>
      <c r="Q366" s="9" t="str">
        <f>IF($A366="","",IF($O366="", "", ROUND($O366*Settings!$B$2+Settings!$B$3,2)))</f>
        <v/>
      </c>
      <c r="R366" s="9" t="str">
        <f>IF($A366="","",IF($L366="", "", Settings!$B$4))</f>
        <v/>
      </c>
      <c r="S366" s="9" t="str">
        <f t="shared" si="47"/>
        <v/>
      </c>
      <c r="T366" s="9" t="str">
        <f t="shared" si="48"/>
        <v/>
      </c>
      <c r="U366" s="9" t="str">
        <f>IF($A366="","",IF($K366="", "", ROUND((($K366 + Settings!$B$3 + $R366) - IF($M366="",0,$M366))/(1-Settings!$B$2),2)))</f>
        <v/>
      </c>
      <c r="V366" s="9" t="str">
        <f>IF($A366="","",$L366-($L366*Settings!$B$2)-$J366-($B366+SUM($D366:$I366)))</f>
        <v/>
      </c>
      <c r="W366" s="9" t="str">
        <f>IF($A366="","",(($B366+SUM($D366:$I366)+$J366+Settings!$B$3)/(1-Settings!$B$2))-$M366)</f>
        <v/>
      </c>
      <c r="X366" s="10" t="str">
        <f t="shared" si="49"/>
        <v/>
      </c>
      <c r="Y366" s="10" t="str">
        <f t="shared" si="50"/>
        <v/>
      </c>
      <c r="Z366" s="10" t="str">
        <f t="shared" si="51"/>
        <v/>
      </c>
      <c r="AA366" s="10" t="str">
        <f t="shared" si="52"/>
        <v/>
      </c>
      <c r="AC366" s="11"/>
      <c r="AD366" s="11"/>
      <c r="AE366" s="12" t="str">
        <f t="shared" si="53"/>
        <v/>
      </c>
    </row>
    <row r="367" spans="2:31" x14ac:dyDescent="0.25">
      <c r="B367" s="9"/>
      <c r="C367" t="s">
        <v>31</v>
      </c>
      <c r="D367" s="9" t="str">
        <f>IF($A367="","",1*'Material Costs'!$D$3)</f>
        <v/>
      </c>
      <c r="E367" s="9" t="str">
        <f>IF($A367="","",1*'Material Costs'!$D$2)</f>
        <v/>
      </c>
      <c r="F367" s="9" t="str">
        <f>IF($A367="","",IF($C367="Bubble Mailer",2,1)*'Material Costs'!$D$6)</f>
        <v/>
      </c>
      <c r="G367" s="9" t="str">
        <f>IF($A367="","",1*'Material Costs'!$D$7)</f>
        <v/>
      </c>
      <c r="H367" s="9" t="str">
        <f>IF($A367="","",IF($C367="Bubble Mailer",1,0)*'Material Costs'!$D$5)</f>
        <v/>
      </c>
      <c r="I367" s="9" t="str">
        <f>IF($A367="","",IF($C367="ESE (Ding Defend)",1,0)*'Material Costs'!$D$4)</f>
        <v/>
      </c>
      <c r="J367" s="9"/>
      <c r="K367" s="9" t="str">
        <f t="shared" si="45"/>
        <v/>
      </c>
      <c r="L367" s="9"/>
      <c r="M367" s="9"/>
      <c r="N367" s="9"/>
      <c r="O367" s="9" t="str">
        <f t="shared" si="46"/>
        <v/>
      </c>
      <c r="P367" s="9"/>
      <c r="Q367" s="9" t="str">
        <f>IF($A367="","",IF($O367="", "", ROUND($O367*Settings!$B$2+Settings!$B$3,2)))</f>
        <v/>
      </c>
      <c r="R367" s="9" t="str">
        <f>IF($A367="","",IF($L367="", "", Settings!$B$4))</f>
        <v/>
      </c>
      <c r="S367" s="9" t="str">
        <f t="shared" si="47"/>
        <v/>
      </c>
      <c r="T367" s="9" t="str">
        <f t="shared" si="48"/>
        <v/>
      </c>
      <c r="U367" s="9" t="str">
        <f>IF($A367="","",IF($K367="", "", ROUND((($K367 + Settings!$B$3 + $R367) - IF($M367="",0,$M367))/(1-Settings!$B$2),2)))</f>
        <v/>
      </c>
      <c r="V367" s="9" t="str">
        <f>IF($A367="","",$L367-($L367*Settings!$B$2)-$J367-($B367+SUM($D367:$I367)))</f>
        <v/>
      </c>
      <c r="W367" s="9" t="str">
        <f>IF($A367="","",(($B367+SUM($D367:$I367)+$J367+Settings!$B$3)/(1-Settings!$B$2))-$M367)</f>
        <v/>
      </c>
      <c r="X367" s="10" t="str">
        <f t="shared" si="49"/>
        <v/>
      </c>
      <c r="Y367" s="10" t="str">
        <f t="shared" si="50"/>
        <v/>
      </c>
      <c r="Z367" s="10" t="str">
        <f t="shared" si="51"/>
        <v/>
      </c>
      <c r="AA367" s="10" t="str">
        <f t="shared" si="52"/>
        <v/>
      </c>
      <c r="AC367" s="11"/>
      <c r="AD367" s="11"/>
      <c r="AE367" s="12" t="str">
        <f t="shared" si="53"/>
        <v/>
      </c>
    </row>
    <row r="368" spans="2:31" x14ac:dyDescent="0.25">
      <c r="B368" s="9"/>
      <c r="C368" t="s">
        <v>31</v>
      </c>
      <c r="D368" s="9" t="str">
        <f>IF($A368="","",1*'Material Costs'!$D$3)</f>
        <v/>
      </c>
      <c r="E368" s="9" t="str">
        <f>IF($A368="","",1*'Material Costs'!$D$2)</f>
        <v/>
      </c>
      <c r="F368" s="9" t="str">
        <f>IF($A368="","",IF($C368="Bubble Mailer",2,1)*'Material Costs'!$D$6)</f>
        <v/>
      </c>
      <c r="G368" s="9" t="str">
        <f>IF($A368="","",1*'Material Costs'!$D$7)</f>
        <v/>
      </c>
      <c r="H368" s="9" t="str">
        <f>IF($A368="","",IF($C368="Bubble Mailer",1,0)*'Material Costs'!$D$5)</f>
        <v/>
      </c>
      <c r="I368" s="9" t="str">
        <f>IF($A368="","",IF($C368="ESE (Ding Defend)",1,0)*'Material Costs'!$D$4)</f>
        <v/>
      </c>
      <c r="J368" s="9"/>
      <c r="K368" s="9" t="str">
        <f t="shared" si="45"/>
        <v/>
      </c>
      <c r="L368" s="9"/>
      <c r="M368" s="9"/>
      <c r="N368" s="9"/>
      <c r="O368" s="9" t="str">
        <f t="shared" si="46"/>
        <v/>
      </c>
      <c r="P368" s="9"/>
      <c r="Q368" s="9" t="str">
        <f>IF($A368="","",IF($O368="", "", ROUND($O368*Settings!$B$2+Settings!$B$3,2)))</f>
        <v/>
      </c>
      <c r="R368" s="9" t="str">
        <f>IF($A368="","",IF($L368="", "", Settings!$B$4))</f>
        <v/>
      </c>
      <c r="S368" s="9" t="str">
        <f t="shared" si="47"/>
        <v/>
      </c>
      <c r="T368" s="9" t="str">
        <f t="shared" si="48"/>
        <v/>
      </c>
      <c r="U368" s="9" t="str">
        <f>IF($A368="","",IF($K368="", "", ROUND((($K368 + Settings!$B$3 + $R368) - IF($M368="",0,$M368))/(1-Settings!$B$2),2)))</f>
        <v/>
      </c>
      <c r="V368" s="9" t="str">
        <f>IF($A368="","",$L368-($L368*Settings!$B$2)-$J368-($B368+SUM($D368:$I368)))</f>
        <v/>
      </c>
      <c r="W368" s="9" t="str">
        <f>IF($A368="","",(($B368+SUM($D368:$I368)+$J368+Settings!$B$3)/(1-Settings!$B$2))-$M368)</f>
        <v/>
      </c>
      <c r="X368" s="10" t="str">
        <f t="shared" si="49"/>
        <v/>
      </c>
      <c r="Y368" s="10" t="str">
        <f t="shared" si="50"/>
        <v/>
      </c>
      <c r="Z368" s="10" t="str">
        <f t="shared" si="51"/>
        <v/>
      </c>
      <c r="AA368" s="10" t="str">
        <f t="shared" si="52"/>
        <v/>
      </c>
      <c r="AC368" s="11"/>
      <c r="AD368" s="11"/>
      <c r="AE368" s="12" t="str">
        <f t="shared" si="53"/>
        <v/>
      </c>
    </row>
    <row r="369" spans="2:31" x14ac:dyDescent="0.25">
      <c r="B369" s="9"/>
      <c r="C369" t="s">
        <v>31</v>
      </c>
      <c r="D369" s="9" t="str">
        <f>IF($A369="","",1*'Material Costs'!$D$3)</f>
        <v/>
      </c>
      <c r="E369" s="9" t="str">
        <f>IF($A369="","",1*'Material Costs'!$D$2)</f>
        <v/>
      </c>
      <c r="F369" s="9" t="str">
        <f>IF($A369="","",IF($C369="Bubble Mailer",2,1)*'Material Costs'!$D$6)</f>
        <v/>
      </c>
      <c r="G369" s="9" t="str">
        <f>IF($A369="","",1*'Material Costs'!$D$7)</f>
        <v/>
      </c>
      <c r="H369" s="9" t="str">
        <f>IF($A369="","",IF($C369="Bubble Mailer",1,0)*'Material Costs'!$D$5)</f>
        <v/>
      </c>
      <c r="I369" s="9" t="str">
        <f>IF($A369="","",IF($C369="ESE (Ding Defend)",1,0)*'Material Costs'!$D$4)</f>
        <v/>
      </c>
      <c r="J369" s="9"/>
      <c r="K369" s="9" t="str">
        <f t="shared" si="45"/>
        <v/>
      </c>
      <c r="L369" s="9"/>
      <c r="M369" s="9"/>
      <c r="N369" s="9"/>
      <c r="O369" s="9" t="str">
        <f t="shared" si="46"/>
        <v/>
      </c>
      <c r="P369" s="9"/>
      <c r="Q369" s="9" t="str">
        <f>IF($A369="","",IF($O369="", "", ROUND($O369*Settings!$B$2+Settings!$B$3,2)))</f>
        <v/>
      </c>
      <c r="R369" s="9" t="str">
        <f>IF($A369="","",IF($L369="", "", Settings!$B$4))</f>
        <v/>
      </c>
      <c r="S369" s="9" t="str">
        <f t="shared" si="47"/>
        <v/>
      </c>
      <c r="T369" s="9" t="str">
        <f t="shared" si="48"/>
        <v/>
      </c>
      <c r="U369" s="9" t="str">
        <f>IF($A369="","",IF($K369="", "", ROUND((($K369 + Settings!$B$3 + $R369) - IF($M369="",0,$M369))/(1-Settings!$B$2),2)))</f>
        <v/>
      </c>
      <c r="V369" s="9" t="str">
        <f>IF($A369="","",$L369-($L369*Settings!$B$2)-$J369-($B369+SUM($D369:$I369)))</f>
        <v/>
      </c>
      <c r="W369" s="9" t="str">
        <f>IF($A369="","",(($B369+SUM($D369:$I369)+$J369+Settings!$B$3)/(1-Settings!$B$2))-$M369)</f>
        <v/>
      </c>
      <c r="X369" s="10" t="str">
        <f t="shared" si="49"/>
        <v/>
      </c>
      <c r="Y369" s="10" t="str">
        <f t="shared" si="50"/>
        <v/>
      </c>
      <c r="Z369" s="10" t="str">
        <f t="shared" si="51"/>
        <v/>
      </c>
      <c r="AA369" s="10" t="str">
        <f t="shared" si="52"/>
        <v/>
      </c>
      <c r="AC369" s="11"/>
      <c r="AD369" s="11"/>
      <c r="AE369" s="12" t="str">
        <f t="shared" si="53"/>
        <v/>
      </c>
    </row>
    <row r="370" spans="2:31" x14ac:dyDescent="0.25">
      <c r="B370" s="9"/>
      <c r="C370" t="s">
        <v>31</v>
      </c>
      <c r="D370" s="9" t="str">
        <f>IF($A370="","",1*'Material Costs'!$D$3)</f>
        <v/>
      </c>
      <c r="E370" s="9" t="str">
        <f>IF($A370="","",1*'Material Costs'!$D$2)</f>
        <v/>
      </c>
      <c r="F370" s="9" t="str">
        <f>IF($A370="","",IF($C370="Bubble Mailer",2,1)*'Material Costs'!$D$6)</f>
        <v/>
      </c>
      <c r="G370" s="9" t="str">
        <f>IF($A370="","",1*'Material Costs'!$D$7)</f>
        <v/>
      </c>
      <c r="H370" s="9" t="str">
        <f>IF($A370="","",IF($C370="Bubble Mailer",1,0)*'Material Costs'!$D$5)</f>
        <v/>
      </c>
      <c r="I370" s="9" t="str">
        <f>IF($A370="","",IF($C370="ESE (Ding Defend)",1,0)*'Material Costs'!$D$4)</f>
        <v/>
      </c>
      <c r="J370" s="9"/>
      <c r="K370" s="9" t="str">
        <f t="shared" si="45"/>
        <v/>
      </c>
      <c r="L370" s="9"/>
      <c r="M370" s="9"/>
      <c r="N370" s="9"/>
      <c r="O370" s="9" t="str">
        <f t="shared" si="46"/>
        <v/>
      </c>
      <c r="P370" s="9"/>
      <c r="Q370" s="9" t="str">
        <f>IF($A370="","",IF($O370="", "", ROUND($O370*Settings!$B$2+Settings!$B$3,2)))</f>
        <v/>
      </c>
      <c r="R370" s="9" t="str">
        <f>IF($A370="","",IF($L370="", "", Settings!$B$4))</f>
        <v/>
      </c>
      <c r="S370" s="9" t="str">
        <f t="shared" si="47"/>
        <v/>
      </c>
      <c r="T370" s="9" t="str">
        <f t="shared" si="48"/>
        <v/>
      </c>
      <c r="U370" s="9" t="str">
        <f>IF($A370="","",IF($K370="", "", ROUND((($K370 + Settings!$B$3 + $R370) - IF($M370="",0,$M370))/(1-Settings!$B$2),2)))</f>
        <v/>
      </c>
      <c r="V370" s="9" t="str">
        <f>IF($A370="","",$L370-($L370*Settings!$B$2)-$J370-($B370+SUM($D370:$I370)))</f>
        <v/>
      </c>
      <c r="W370" s="9" t="str">
        <f>IF($A370="","",(($B370+SUM($D370:$I370)+$J370+Settings!$B$3)/(1-Settings!$B$2))-$M370)</f>
        <v/>
      </c>
      <c r="X370" s="10" t="str">
        <f t="shared" si="49"/>
        <v/>
      </c>
      <c r="Y370" s="10" t="str">
        <f t="shared" si="50"/>
        <v/>
      </c>
      <c r="Z370" s="10" t="str">
        <f t="shared" si="51"/>
        <v/>
      </c>
      <c r="AA370" s="10" t="str">
        <f t="shared" si="52"/>
        <v/>
      </c>
      <c r="AC370" s="11"/>
      <c r="AD370" s="11"/>
      <c r="AE370" s="12" t="str">
        <f t="shared" si="53"/>
        <v/>
      </c>
    </row>
    <row r="371" spans="2:31" x14ac:dyDescent="0.25">
      <c r="B371" s="9"/>
      <c r="C371" t="s">
        <v>31</v>
      </c>
      <c r="D371" s="9" t="str">
        <f>IF($A371="","",1*'Material Costs'!$D$3)</f>
        <v/>
      </c>
      <c r="E371" s="9" t="str">
        <f>IF($A371="","",1*'Material Costs'!$D$2)</f>
        <v/>
      </c>
      <c r="F371" s="9" t="str">
        <f>IF($A371="","",IF($C371="Bubble Mailer",2,1)*'Material Costs'!$D$6)</f>
        <v/>
      </c>
      <c r="G371" s="9" t="str">
        <f>IF($A371="","",1*'Material Costs'!$D$7)</f>
        <v/>
      </c>
      <c r="H371" s="9" t="str">
        <f>IF($A371="","",IF($C371="Bubble Mailer",1,0)*'Material Costs'!$D$5)</f>
        <v/>
      </c>
      <c r="I371" s="9" t="str">
        <f>IF($A371="","",IF($C371="ESE (Ding Defend)",1,0)*'Material Costs'!$D$4)</f>
        <v/>
      </c>
      <c r="J371" s="9"/>
      <c r="K371" s="9" t="str">
        <f t="shared" si="45"/>
        <v/>
      </c>
      <c r="L371" s="9"/>
      <c r="M371" s="9"/>
      <c r="N371" s="9"/>
      <c r="O371" s="9" t="str">
        <f t="shared" si="46"/>
        <v/>
      </c>
      <c r="P371" s="9"/>
      <c r="Q371" s="9" t="str">
        <f>IF($A371="","",IF($O371="", "", ROUND($O371*Settings!$B$2+Settings!$B$3,2)))</f>
        <v/>
      </c>
      <c r="R371" s="9" t="str">
        <f>IF($A371="","",IF($L371="", "", Settings!$B$4))</f>
        <v/>
      </c>
      <c r="S371" s="9" t="str">
        <f t="shared" si="47"/>
        <v/>
      </c>
      <c r="T371" s="9" t="str">
        <f t="shared" si="48"/>
        <v/>
      </c>
      <c r="U371" s="9" t="str">
        <f>IF($A371="","",IF($K371="", "", ROUND((($K371 + Settings!$B$3 + $R371) - IF($M371="",0,$M371))/(1-Settings!$B$2),2)))</f>
        <v/>
      </c>
      <c r="V371" s="9" t="str">
        <f>IF($A371="","",$L371-($L371*Settings!$B$2)-$J371-($B371+SUM($D371:$I371)))</f>
        <v/>
      </c>
      <c r="W371" s="9" t="str">
        <f>IF($A371="","",(($B371+SUM($D371:$I371)+$J371+Settings!$B$3)/(1-Settings!$B$2))-$M371)</f>
        <v/>
      </c>
      <c r="X371" s="10" t="str">
        <f t="shared" si="49"/>
        <v/>
      </c>
      <c r="Y371" s="10" t="str">
        <f t="shared" si="50"/>
        <v/>
      </c>
      <c r="Z371" s="10" t="str">
        <f t="shared" si="51"/>
        <v/>
      </c>
      <c r="AA371" s="10" t="str">
        <f t="shared" si="52"/>
        <v/>
      </c>
      <c r="AC371" s="11"/>
      <c r="AD371" s="11"/>
      <c r="AE371" s="12" t="str">
        <f t="shared" si="53"/>
        <v/>
      </c>
    </row>
    <row r="372" spans="2:31" x14ac:dyDescent="0.25">
      <c r="B372" s="9"/>
      <c r="C372" t="s">
        <v>31</v>
      </c>
      <c r="D372" s="9" t="str">
        <f>IF($A372="","",1*'Material Costs'!$D$3)</f>
        <v/>
      </c>
      <c r="E372" s="9" t="str">
        <f>IF($A372="","",1*'Material Costs'!$D$2)</f>
        <v/>
      </c>
      <c r="F372" s="9" t="str">
        <f>IF($A372="","",IF($C372="Bubble Mailer",2,1)*'Material Costs'!$D$6)</f>
        <v/>
      </c>
      <c r="G372" s="9" t="str">
        <f>IF($A372="","",1*'Material Costs'!$D$7)</f>
        <v/>
      </c>
      <c r="H372" s="9" t="str">
        <f>IF($A372="","",IF($C372="Bubble Mailer",1,0)*'Material Costs'!$D$5)</f>
        <v/>
      </c>
      <c r="I372" s="9" t="str">
        <f>IF($A372="","",IF($C372="ESE (Ding Defend)",1,0)*'Material Costs'!$D$4)</f>
        <v/>
      </c>
      <c r="J372" s="9"/>
      <c r="K372" s="9" t="str">
        <f t="shared" si="45"/>
        <v/>
      </c>
      <c r="L372" s="9"/>
      <c r="M372" s="9"/>
      <c r="N372" s="9"/>
      <c r="O372" s="9" t="str">
        <f t="shared" si="46"/>
        <v/>
      </c>
      <c r="P372" s="9"/>
      <c r="Q372" s="9" t="str">
        <f>IF($A372="","",IF($O372="", "", ROUND($O372*Settings!$B$2+Settings!$B$3,2)))</f>
        <v/>
      </c>
      <c r="R372" s="9" t="str">
        <f>IF($A372="","",IF($L372="", "", Settings!$B$4))</f>
        <v/>
      </c>
      <c r="S372" s="9" t="str">
        <f t="shared" si="47"/>
        <v/>
      </c>
      <c r="T372" s="9" t="str">
        <f t="shared" si="48"/>
        <v/>
      </c>
      <c r="U372" s="9" t="str">
        <f>IF($A372="","",IF($K372="", "", ROUND((($K372 + Settings!$B$3 + $R372) - IF($M372="",0,$M372))/(1-Settings!$B$2),2)))</f>
        <v/>
      </c>
      <c r="V372" s="9" t="str">
        <f>IF($A372="","",$L372-($L372*Settings!$B$2)-$J372-($B372+SUM($D372:$I372)))</f>
        <v/>
      </c>
      <c r="W372" s="9" t="str">
        <f>IF($A372="","",(($B372+SUM($D372:$I372)+$J372+Settings!$B$3)/(1-Settings!$B$2))-$M372)</f>
        <v/>
      </c>
      <c r="X372" s="10" t="str">
        <f t="shared" si="49"/>
        <v/>
      </c>
      <c r="Y372" s="10" t="str">
        <f t="shared" si="50"/>
        <v/>
      </c>
      <c r="Z372" s="10" t="str">
        <f t="shared" si="51"/>
        <v/>
      </c>
      <c r="AA372" s="10" t="str">
        <f t="shared" si="52"/>
        <v/>
      </c>
      <c r="AC372" s="11"/>
      <c r="AD372" s="11"/>
      <c r="AE372" s="12" t="str">
        <f t="shared" si="53"/>
        <v/>
      </c>
    </row>
    <row r="373" spans="2:31" x14ac:dyDescent="0.25">
      <c r="B373" s="9"/>
      <c r="C373" t="s">
        <v>31</v>
      </c>
      <c r="D373" s="9" t="str">
        <f>IF($A373="","",1*'Material Costs'!$D$3)</f>
        <v/>
      </c>
      <c r="E373" s="9" t="str">
        <f>IF($A373="","",1*'Material Costs'!$D$2)</f>
        <v/>
      </c>
      <c r="F373" s="9" t="str">
        <f>IF($A373="","",IF($C373="Bubble Mailer",2,1)*'Material Costs'!$D$6)</f>
        <v/>
      </c>
      <c r="G373" s="9" t="str">
        <f>IF($A373="","",1*'Material Costs'!$D$7)</f>
        <v/>
      </c>
      <c r="H373" s="9" t="str">
        <f>IF($A373="","",IF($C373="Bubble Mailer",1,0)*'Material Costs'!$D$5)</f>
        <v/>
      </c>
      <c r="I373" s="9" t="str">
        <f>IF($A373="","",IF($C373="ESE (Ding Defend)",1,0)*'Material Costs'!$D$4)</f>
        <v/>
      </c>
      <c r="J373" s="9"/>
      <c r="K373" s="9" t="str">
        <f t="shared" si="45"/>
        <v/>
      </c>
      <c r="L373" s="9"/>
      <c r="M373" s="9"/>
      <c r="N373" s="9"/>
      <c r="O373" s="9" t="str">
        <f t="shared" si="46"/>
        <v/>
      </c>
      <c r="P373" s="9"/>
      <c r="Q373" s="9" t="str">
        <f>IF($A373="","",IF($O373="", "", ROUND($O373*Settings!$B$2+Settings!$B$3,2)))</f>
        <v/>
      </c>
      <c r="R373" s="9" t="str">
        <f>IF($A373="","",IF($L373="", "", Settings!$B$4))</f>
        <v/>
      </c>
      <c r="S373" s="9" t="str">
        <f t="shared" si="47"/>
        <v/>
      </c>
      <c r="T373" s="9" t="str">
        <f t="shared" si="48"/>
        <v/>
      </c>
      <c r="U373" s="9" t="str">
        <f>IF($A373="","",IF($K373="", "", ROUND((($K373 + Settings!$B$3 + $R373) - IF($M373="",0,$M373))/(1-Settings!$B$2),2)))</f>
        <v/>
      </c>
      <c r="V373" s="9" t="str">
        <f>IF($A373="","",$L373-($L373*Settings!$B$2)-$J373-($B373+SUM($D373:$I373)))</f>
        <v/>
      </c>
      <c r="W373" s="9" t="str">
        <f>IF($A373="","",(($B373+SUM($D373:$I373)+$J373+Settings!$B$3)/(1-Settings!$B$2))-$M373)</f>
        <v/>
      </c>
      <c r="X373" s="10" t="str">
        <f t="shared" si="49"/>
        <v/>
      </c>
      <c r="Y373" s="10" t="str">
        <f t="shared" si="50"/>
        <v/>
      </c>
      <c r="Z373" s="10" t="str">
        <f t="shared" si="51"/>
        <v/>
      </c>
      <c r="AA373" s="10" t="str">
        <f t="shared" si="52"/>
        <v/>
      </c>
      <c r="AC373" s="11"/>
      <c r="AD373" s="11"/>
      <c r="AE373" s="12" t="str">
        <f t="shared" si="53"/>
        <v/>
      </c>
    </row>
    <row r="374" spans="2:31" x14ac:dyDescent="0.25">
      <c r="B374" s="9"/>
      <c r="C374" t="s">
        <v>31</v>
      </c>
      <c r="D374" s="9" t="str">
        <f>IF($A374="","",1*'Material Costs'!$D$3)</f>
        <v/>
      </c>
      <c r="E374" s="9" t="str">
        <f>IF($A374="","",1*'Material Costs'!$D$2)</f>
        <v/>
      </c>
      <c r="F374" s="9" t="str">
        <f>IF($A374="","",IF($C374="Bubble Mailer",2,1)*'Material Costs'!$D$6)</f>
        <v/>
      </c>
      <c r="G374" s="9" t="str">
        <f>IF($A374="","",1*'Material Costs'!$D$7)</f>
        <v/>
      </c>
      <c r="H374" s="9" t="str">
        <f>IF($A374="","",IF($C374="Bubble Mailer",1,0)*'Material Costs'!$D$5)</f>
        <v/>
      </c>
      <c r="I374" s="9" t="str">
        <f>IF($A374="","",IF($C374="ESE (Ding Defend)",1,0)*'Material Costs'!$D$4)</f>
        <v/>
      </c>
      <c r="J374" s="9"/>
      <c r="K374" s="9" t="str">
        <f t="shared" si="45"/>
        <v/>
      </c>
      <c r="L374" s="9"/>
      <c r="M374" s="9"/>
      <c r="N374" s="9"/>
      <c r="O374" s="9" t="str">
        <f t="shared" si="46"/>
        <v/>
      </c>
      <c r="P374" s="9"/>
      <c r="Q374" s="9" t="str">
        <f>IF($A374="","",IF($O374="", "", ROUND($O374*Settings!$B$2+Settings!$B$3,2)))</f>
        <v/>
      </c>
      <c r="R374" s="9" t="str">
        <f>IF($A374="","",IF($L374="", "", Settings!$B$4))</f>
        <v/>
      </c>
      <c r="S374" s="9" t="str">
        <f t="shared" si="47"/>
        <v/>
      </c>
      <c r="T374" s="9" t="str">
        <f t="shared" si="48"/>
        <v/>
      </c>
      <c r="U374" s="9" t="str">
        <f>IF($A374="","",IF($K374="", "", ROUND((($K374 + Settings!$B$3 + $R374) - IF($M374="",0,$M374))/(1-Settings!$B$2),2)))</f>
        <v/>
      </c>
      <c r="V374" s="9" t="str">
        <f>IF($A374="","",$L374-($L374*Settings!$B$2)-$J374-($B374+SUM($D374:$I374)))</f>
        <v/>
      </c>
      <c r="W374" s="9" t="str">
        <f>IF($A374="","",(($B374+SUM($D374:$I374)+$J374+Settings!$B$3)/(1-Settings!$B$2))-$M374)</f>
        <v/>
      </c>
      <c r="X374" s="10" t="str">
        <f t="shared" si="49"/>
        <v/>
      </c>
      <c r="Y374" s="10" t="str">
        <f t="shared" si="50"/>
        <v/>
      </c>
      <c r="Z374" s="10" t="str">
        <f t="shared" si="51"/>
        <v/>
      </c>
      <c r="AA374" s="10" t="str">
        <f t="shared" si="52"/>
        <v/>
      </c>
      <c r="AC374" s="11"/>
      <c r="AD374" s="11"/>
      <c r="AE374" s="12" t="str">
        <f t="shared" si="53"/>
        <v/>
      </c>
    </row>
    <row r="375" spans="2:31" x14ac:dyDescent="0.25">
      <c r="B375" s="9"/>
      <c r="C375" t="s">
        <v>31</v>
      </c>
      <c r="D375" s="9" t="str">
        <f>IF($A375="","",1*'Material Costs'!$D$3)</f>
        <v/>
      </c>
      <c r="E375" s="9" t="str">
        <f>IF($A375="","",1*'Material Costs'!$D$2)</f>
        <v/>
      </c>
      <c r="F375" s="9" t="str">
        <f>IF($A375="","",IF($C375="Bubble Mailer",2,1)*'Material Costs'!$D$6)</f>
        <v/>
      </c>
      <c r="G375" s="9" t="str">
        <f>IF($A375="","",1*'Material Costs'!$D$7)</f>
        <v/>
      </c>
      <c r="H375" s="9" t="str">
        <f>IF($A375="","",IF($C375="Bubble Mailer",1,0)*'Material Costs'!$D$5)</f>
        <v/>
      </c>
      <c r="I375" s="9" t="str">
        <f>IF($A375="","",IF($C375="ESE (Ding Defend)",1,0)*'Material Costs'!$D$4)</f>
        <v/>
      </c>
      <c r="J375" s="9"/>
      <c r="K375" s="9" t="str">
        <f t="shared" si="45"/>
        <v/>
      </c>
      <c r="L375" s="9"/>
      <c r="M375" s="9"/>
      <c r="N375" s="9"/>
      <c r="O375" s="9" t="str">
        <f t="shared" si="46"/>
        <v/>
      </c>
      <c r="P375" s="9"/>
      <c r="Q375" s="9" t="str">
        <f>IF($A375="","",IF($O375="", "", ROUND($O375*Settings!$B$2+Settings!$B$3,2)))</f>
        <v/>
      </c>
      <c r="R375" s="9" t="str">
        <f>IF($A375="","",IF($L375="", "", Settings!$B$4))</f>
        <v/>
      </c>
      <c r="S375" s="9" t="str">
        <f t="shared" si="47"/>
        <v/>
      </c>
      <c r="T375" s="9" t="str">
        <f t="shared" si="48"/>
        <v/>
      </c>
      <c r="U375" s="9" t="str">
        <f>IF($A375="","",IF($K375="", "", ROUND((($K375 + Settings!$B$3 + $R375) - IF($M375="",0,$M375))/(1-Settings!$B$2),2)))</f>
        <v/>
      </c>
      <c r="V375" s="9" t="str">
        <f>IF($A375="","",$L375-($L375*Settings!$B$2)-$J375-($B375+SUM($D375:$I375)))</f>
        <v/>
      </c>
      <c r="W375" s="9" t="str">
        <f>IF($A375="","",(($B375+SUM($D375:$I375)+$J375+Settings!$B$3)/(1-Settings!$B$2))-$M375)</f>
        <v/>
      </c>
      <c r="X375" s="10" t="str">
        <f t="shared" si="49"/>
        <v/>
      </c>
      <c r="Y375" s="10" t="str">
        <f t="shared" si="50"/>
        <v/>
      </c>
      <c r="Z375" s="10" t="str">
        <f t="shared" si="51"/>
        <v/>
      </c>
      <c r="AA375" s="10" t="str">
        <f t="shared" si="52"/>
        <v/>
      </c>
      <c r="AC375" s="11"/>
      <c r="AD375" s="11"/>
      <c r="AE375" s="12" t="str">
        <f t="shared" si="53"/>
        <v/>
      </c>
    </row>
    <row r="376" spans="2:31" x14ac:dyDescent="0.25">
      <c r="B376" s="9"/>
      <c r="C376" t="s">
        <v>31</v>
      </c>
      <c r="D376" s="9" t="str">
        <f>IF($A376="","",1*'Material Costs'!$D$3)</f>
        <v/>
      </c>
      <c r="E376" s="9" t="str">
        <f>IF($A376="","",1*'Material Costs'!$D$2)</f>
        <v/>
      </c>
      <c r="F376" s="9" t="str">
        <f>IF($A376="","",IF($C376="Bubble Mailer",2,1)*'Material Costs'!$D$6)</f>
        <v/>
      </c>
      <c r="G376" s="9" t="str">
        <f>IF($A376="","",1*'Material Costs'!$D$7)</f>
        <v/>
      </c>
      <c r="H376" s="9" t="str">
        <f>IF($A376="","",IF($C376="Bubble Mailer",1,0)*'Material Costs'!$D$5)</f>
        <v/>
      </c>
      <c r="I376" s="9" t="str">
        <f>IF($A376="","",IF($C376="ESE (Ding Defend)",1,0)*'Material Costs'!$D$4)</f>
        <v/>
      </c>
      <c r="J376" s="9"/>
      <c r="K376" s="9" t="str">
        <f t="shared" si="45"/>
        <v/>
      </c>
      <c r="L376" s="9"/>
      <c r="M376" s="9"/>
      <c r="N376" s="9"/>
      <c r="O376" s="9" t="str">
        <f t="shared" si="46"/>
        <v/>
      </c>
      <c r="P376" s="9"/>
      <c r="Q376" s="9" t="str">
        <f>IF($A376="","",IF($O376="", "", ROUND($O376*Settings!$B$2+Settings!$B$3,2)))</f>
        <v/>
      </c>
      <c r="R376" s="9" t="str">
        <f>IF($A376="","",IF($L376="", "", Settings!$B$4))</f>
        <v/>
      </c>
      <c r="S376" s="9" t="str">
        <f t="shared" si="47"/>
        <v/>
      </c>
      <c r="T376" s="9" t="str">
        <f t="shared" si="48"/>
        <v/>
      </c>
      <c r="U376" s="9" t="str">
        <f>IF($A376="","",IF($K376="", "", ROUND((($K376 + Settings!$B$3 + $R376) - IF($M376="",0,$M376))/(1-Settings!$B$2),2)))</f>
        <v/>
      </c>
      <c r="V376" s="9" t="str">
        <f>IF($A376="","",$L376-($L376*Settings!$B$2)-$J376-($B376+SUM($D376:$I376)))</f>
        <v/>
      </c>
      <c r="W376" s="9" t="str">
        <f>IF($A376="","",(($B376+SUM($D376:$I376)+$J376+Settings!$B$3)/(1-Settings!$B$2))-$M376)</f>
        <v/>
      </c>
      <c r="X376" s="10" t="str">
        <f t="shared" si="49"/>
        <v/>
      </c>
      <c r="Y376" s="10" t="str">
        <f t="shared" si="50"/>
        <v/>
      </c>
      <c r="Z376" s="10" t="str">
        <f t="shared" si="51"/>
        <v/>
      </c>
      <c r="AA376" s="10" t="str">
        <f t="shared" si="52"/>
        <v/>
      </c>
      <c r="AC376" s="11"/>
      <c r="AD376" s="11"/>
      <c r="AE376" s="12" t="str">
        <f t="shared" si="53"/>
        <v/>
      </c>
    </row>
    <row r="377" spans="2:31" x14ac:dyDescent="0.25">
      <c r="B377" s="9"/>
      <c r="C377" t="s">
        <v>31</v>
      </c>
      <c r="D377" s="9" t="str">
        <f>IF($A377="","",1*'Material Costs'!$D$3)</f>
        <v/>
      </c>
      <c r="E377" s="9" t="str">
        <f>IF($A377="","",1*'Material Costs'!$D$2)</f>
        <v/>
      </c>
      <c r="F377" s="9" t="str">
        <f>IF($A377="","",IF($C377="Bubble Mailer",2,1)*'Material Costs'!$D$6)</f>
        <v/>
      </c>
      <c r="G377" s="9" t="str">
        <f>IF($A377="","",1*'Material Costs'!$D$7)</f>
        <v/>
      </c>
      <c r="H377" s="9" t="str">
        <f>IF($A377="","",IF($C377="Bubble Mailer",1,0)*'Material Costs'!$D$5)</f>
        <v/>
      </c>
      <c r="I377" s="9" t="str">
        <f>IF($A377="","",IF($C377="ESE (Ding Defend)",1,0)*'Material Costs'!$D$4)</f>
        <v/>
      </c>
      <c r="J377" s="9"/>
      <c r="K377" s="9" t="str">
        <f t="shared" si="45"/>
        <v/>
      </c>
      <c r="L377" s="9"/>
      <c r="M377" s="9"/>
      <c r="N377" s="9"/>
      <c r="O377" s="9" t="str">
        <f t="shared" si="46"/>
        <v/>
      </c>
      <c r="P377" s="9"/>
      <c r="Q377" s="9" t="str">
        <f>IF($A377="","",IF($O377="", "", ROUND($O377*Settings!$B$2+Settings!$B$3,2)))</f>
        <v/>
      </c>
      <c r="R377" s="9" t="str">
        <f>IF($A377="","",IF($L377="", "", Settings!$B$4))</f>
        <v/>
      </c>
      <c r="S377" s="9" t="str">
        <f t="shared" si="47"/>
        <v/>
      </c>
      <c r="T377" s="9" t="str">
        <f t="shared" si="48"/>
        <v/>
      </c>
      <c r="U377" s="9" t="str">
        <f>IF($A377="","",IF($K377="", "", ROUND((($K377 + Settings!$B$3 + $R377) - IF($M377="",0,$M377))/(1-Settings!$B$2),2)))</f>
        <v/>
      </c>
      <c r="V377" s="9" t="str">
        <f>IF($A377="","",$L377-($L377*Settings!$B$2)-$J377-($B377+SUM($D377:$I377)))</f>
        <v/>
      </c>
      <c r="W377" s="9" t="str">
        <f>IF($A377="","",(($B377+SUM($D377:$I377)+$J377+Settings!$B$3)/(1-Settings!$B$2))-$M377)</f>
        <v/>
      </c>
      <c r="X377" s="10" t="str">
        <f t="shared" si="49"/>
        <v/>
      </c>
      <c r="Y377" s="10" t="str">
        <f t="shared" si="50"/>
        <v/>
      </c>
      <c r="Z377" s="10" t="str">
        <f t="shared" si="51"/>
        <v/>
      </c>
      <c r="AA377" s="10" t="str">
        <f t="shared" si="52"/>
        <v/>
      </c>
      <c r="AC377" s="11"/>
      <c r="AD377" s="11"/>
      <c r="AE377" s="12" t="str">
        <f t="shared" si="53"/>
        <v/>
      </c>
    </row>
    <row r="378" spans="2:31" x14ac:dyDescent="0.25">
      <c r="B378" s="9"/>
      <c r="C378" t="s">
        <v>31</v>
      </c>
      <c r="D378" s="9" t="str">
        <f>IF($A378="","",1*'Material Costs'!$D$3)</f>
        <v/>
      </c>
      <c r="E378" s="9" t="str">
        <f>IF($A378="","",1*'Material Costs'!$D$2)</f>
        <v/>
      </c>
      <c r="F378" s="9" t="str">
        <f>IF($A378="","",IF($C378="Bubble Mailer",2,1)*'Material Costs'!$D$6)</f>
        <v/>
      </c>
      <c r="G378" s="9" t="str">
        <f>IF($A378="","",1*'Material Costs'!$D$7)</f>
        <v/>
      </c>
      <c r="H378" s="9" t="str">
        <f>IF($A378="","",IF($C378="Bubble Mailer",1,0)*'Material Costs'!$D$5)</f>
        <v/>
      </c>
      <c r="I378" s="9" t="str">
        <f>IF($A378="","",IF($C378="ESE (Ding Defend)",1,0)*'Material Costs'!$D$4)</f>
        <v/>
      </c>
      <c r="J378" s="9"/>
      <c r="K378" s="9" t="str">
        <f t="shared" si="45"/>
        <v/>
      </c>
      <c r="L378" s="9"/>
      <c r="M378" s="9"/>
      <c r="N378" s="9"/>
      <c r="O378" s="9" t="str">
        <f t="shared" si="46"/>
        <v/>
      </c>
      <c r="P378" s="9"/>
      <c r="Q378" s="9" t="str">
        <f>IF($A378="","",IF($O378="", "", ROUND($O378*Settings!$B$2+Settings!$B$3,2)))</f>
        <v/>
      </c>
      <c r="R378" s="9" t="str">
        <f>IF($A378="","",IF($L378="", "", Settings!$B$4))</f>
        <v/>
      </c>
      <c r="S378" s="9" t="str">
        <f t="shared" si="47"/>
        <v/>
      </c>
      <c r="T378" s="9" t="str">
        <f t="shared" si="48"/>
        <v/>
      </c>
      <c r="U378" s="9" t="str">
        <f>IF($A378="","",IF($K378="", "", ROUND((($K378 + Settings!$B$3 + $R378) - IF($M378="",0,$M378))/(1-Settings!$B$2),2)))</f>
        <v/>
      </c>
      <c r="V378" s="9" t="str">
        <f>IF($A378="","",$L378-($L378*Settings!$B$2)-$J378-($B378+SUM($D378:$I378)))</f>
        <v/>
      </c>
      <c r="W378" s="9" t="str">
        <f>IF($A378="","",(($B378+SUM($D378:$I378)+$J378+Settings!$B$3)/(1-Settings!$B$2))-$M378)</f>
        <v/>
      </c>
      <c r="X378" s="10" t="str">
        <f t="shared" si="49"/>
        <v/>
      </c>
      <c r="Y378" s="10" t="str">
        <f t="shared" si="50"/>
        <v/>
      </c>
      <c r="Z378" s="10" t="str">
        <f t="shared" si="51"/>
        <v/>
      </c>
      <c r="AA378" s="10" t="str">
        <f t="shared" si="52"/>
        <v/>
      </c>
      <c r="AC378" s="11"/>
      <c r="AD378" s="11"/>
      <c r="AE378" s="12" t="str">
        <f t="shared" si="53"/>
        <v/>
      </c>
    </row>
    <row r="379" spans="2:31" x14ac:dyDescent="0.25">
      <c r="B379" s="9"/>
      <c r="C379" t="s">
        <v>31</v>
      </c>
      <c r="D379" s="9" t="str">
        <f>IF($A379="","",1*'Material Costs'!$D$3)</f>
        <v/>
      </c>
      <c r="E379" s="9" t="str">
        <f>IF($A379="","",1*'Material Costs'!$D$2)</f>
        <v/>
      </c>
      <c r="F379" s="9" t="str">
        <f>IF($A379="","",IF($C379="Bubble Mailer",2,1)*'Material Costs'!$D$6)</f>
        <v/>
      </c>
      <c r="G379" s="9" t="str">
        <f>IF($A379="","",1*'Material Costs'!$D$7)</f>
        <v/>
      </c>
      <c r="H379" s="9" t="str">
        <f>IF($A379="","",IF($C379="Bubble Mailer",1,0)*'Material Costs'!$D$5)</f>
        <v/>
      </c>
      <c r="I379" s="9" t="str">
        <f>IF($A379="","",IF($C379="ESE (Ding Defend)",1,0)*'Material Costs'!$D$4)</f>
        <v/>
      </c>
      <c r="J379" s="9"/>
      <c r="K379" s="9" t="str">
        <f t="shared" si="45"/>
        <v/>
      </c>
      <c r="L379" s="9"/>
      <c r="M379" s="9"/>
      <c r="N379" s="9"/>
      <c r="O379" s="9" t="str">
        <f t="shared" si="46"/>
        <v/>
      </c>
      <c r="P379" s="9"/>
      <c r="Q379" s="9" t="str">
        <f>IF($A379="","",IF($O379="", "", ROUND($O379*Settings!$B$2+Settings!$B$3,2)))</f>
        <v/>
      </c>
      <c r="R379" s="9" t="str">
        <f>IF($A379="","",IF($L379="", "", Settings!$B$4))</f>
        <v/>
      </c>
      <c r="S379" s="9" t="str">
        <f t="shared" si="47"/>
        <v/>
      </c>
      <c r="T379" s="9" t="str">
        <f t="shared" si="48"/>
        <v/>
      </c>
      <c r="U379" s="9" t="str">
        <f>IF($A379="","",IF($K379="", "", ROUND((($K379 + Settings!$B$3 + $R379) - IF($M379="",0,$M379))/(1-Settings!$B$2),2)))</f>
        <v/>
      </c>
      <c r="V379" s="9" t="str">
        <f>IF($A379="","",$L379-($L379*Settings!$B$2)-$J379-($B379+SUM($D379:$I379)))</f>
        <v/>
      </c>
      <c r="W379" s="9" t="str">
        <f>IF($A379="","",(($B379+SUM($D379:$I379)+$J379+Settings!$B$3)/(1-Settings!$B$2))-$M379)</f>
        <v/>
      </c>
      <c r="X379" s="10" t="str">
        <f t="shared" si="49"/>
        <v/>
      </c>
      <c r="Y379" s="10" t="str">
        <f t="shared" si="50"/>
        <v/>
      </c>
      <c r="Z379" s="10" t="str">
        <f t="shared" si="51"/>
        <v/>
      </c>
      <c r="AA379" s="10" t="str">
        <f t="shared" si="52"/>
        <v/>
      </c>
      <c r="AC379" s="11"/>
      <c r="AD379" s="11"/>
      <c r="AE379" s="12" t="str">
        <f t="shared" si="53"/>
        <v/>
      </c>
    </row>
    <row r="380" spans="2:31" x14ac:dyDescent="0.25">
      <c r="B380" s="9"/>
      <c r="C380" t="s">
        <v>31</v>
      </c>
      <c r="D380" s="9" t="str">
        <f>IF($A380="","",1*'Material Costs'!$D$3)</f>
        <v/>
      </c>
      <c r="E380" s="9" t="str">
        <f>IF($A380="","",1*'Material Costs'!$D$2)</f>
        <v/>
      </c>
      <c r="F380" s="9" t="str">
        <f>IF($A380="","",IF($C380="Bubble Mailer",2,1)*'Material Costs'!$D$6)</f>
        <v/>
      </c>
      <c r="G380" s="9" t="str">
        <f>IF($A380="","",1*'Material Costs'!$D$7)</f>
        <v/>
      </c>
      <c r="H380" s="9" t="str">
        <f>IF($A380="","",IF($C380="Bubble Mailer",1,0)*'Material Costs'!$D$5)</f>
        <v/>
      </c>
      <c r="I380" s="9" t="str">
        <f>IF($A380="","",IF($C380="ESE (Ding Defend)",1,0)*'Material Costs'!$D$4)</f>
        <v/>
      </c>
      <c r="J380" s="9"/>
      <c r="K380" s="9" t="str">
        <f t="shared" si="45"/>
        <v/>
      </c>
      <c r="L380" s="9"/>
      <c r="M380" s="9"/>
      <c r="N380" s="9"/>
      <c r="O380" s="9" t="str">
        <f t="shared" si="46"/>
        <v/>
      </c>
      <c r="P380" s="9"/>
      <c r="Q380" s="9" t="str">
        <f>IF($A380="","",IF($O380="", "", ROUND($O380*Settings!$B$2+Settings!$B$3,2)))</f>
        <v/>
      </c>
      <c r="R380" s="9" t="str">
        <f>IF($A380="","",IF($L380="", "", Settings!$B$4))</f>
        <v/>
      </c>
      <c r="S380" s="9" t="str">
        <f t="shared" si="47"/>
        <v/>
      </c>
      <c r="T380" s="9" t="str">
        <f t="shared" si="48"/>
        <v/>
      </c>
      <c r="U380" s="9" t="str">
        <f>IF($A380="","",IF($K380="", "", ROUND((($K380 + Settings!$B$3 + $R380) - IF($M380="",0,$M380))/(1-Settings!$B$2),2)))</f>
        <v/>
      </c>
      <c r="V380" s="9" t="str">
        <f>IF($A380="","",$L380-($L380*Settings!$B$2)-$J380-($B380+SUM($D380:$I380)))</f>
        <v/>
      </c>
      <c r="W380" s="9" t="str">
        <f>IF($A380="","",(($B380+SUM($D380:$I380)+$J380+Settings!$B$3)/(1-Settings!$B$2))-$M380)</f>
        <v/>
      </c>
      <c r="X380" s="10" t="str">
        <f t="shared" si="49"/>
        <v/>
      </c>
      <c r="Y380" s="10" t="str">
        <f t="shared" si="50"/>
        <v/>
      </c>
      <c r="Z380" s="10" t="str">
        <f t="shared" si="51"/>
        <v/>
      </c>
      <c r="AA380" s="10" t="str">
        <f t="shared" si="52"/>
        <v/>
      </c>
      <c r="AC380" s="11"/>
      <c r="AD380" s="11"/>
      <c r="AE380" s="12" t="str">
        <f t="shared" si="53"/>
        <v/>
      </c>
    </row>
    <row r="381" spans="2:31" x14ac:dyDescent="0.25">
      <c r="B381" s="9"/>
      <c r="C381" t="s">
        <v>31</v>
      </c>
      <c r="D381" s="9" t="str">
        <f>IF($A381="","",1*'Material Costs'!$D$3)</f>
        <v/>
      </c>
      <c r="E381" s="9" t="str">
        <f>IF($A381="","",1*'Material Costs'!$D$2)</f>
        <v/>
      </c>
      <c r="F381" s="9" t="str">
        <f>IF($A381="","",IF($C381="Bubble Mailer",2,1)*'Material Costs'!$D$6)</f>
        <v/>
      </c>
      <c r="G381" s="9" t="str">
        <f>IF($A381="","",1*'Material Costs'!$D$7)</f>
        <v/>
      </c>
      <c r="H381" s="9" t="str">
        <f>IF($A381="","",IF($C381="Bubble Mailer",1,0)*'Material Costs'!$D$5)</f>
        <v/>
      </c>
      <c r="I381" s="9" t="str">
        <f>IF($A381="","",IF($C381="ESE (Ding Defend)",1,0)*'Material Costs'!$D$4)</f>
        <v/>
      </c>
      <c r="J381" s="9"/>
      <c r="K381" s="9" t="str">
        <f t="shared" si="45"/>
        <v/>
      </c>
      <c r="L381" s="9"/>
      <c r="M381" s="9"/>
      <c r="N381" s="9"/>
      <c r="O381" s="9" t="str">
        <f t="shared" si="46"/>
        <v/>
      </c>
      <c r="P381" s="9"/>
      <c r="Q381" s="9" t="str">
        <f>IF($A381="","",IF($O381="", "", ROUND($O381*Settings!$B$2+Settings!$B$3,2)))</f>
        <v/>
      </c>
      <c r="R381" s="9" t="str">
        <f>IF($A381="","",IF($L381="", "", Settings!$B$4))</f>
        <v/>
      </c>
      <c r="S381" s="9" t="str">
        <f t="shared" si="47"/>
        <v/>
      </c>
      <c r="T381" s="9" t="str">
        <f t="shared" si="48"/>
        <v/>
      </c>
      <c r="U381" s="9" t="str">
        <f>IF($A381="","",IF($K381="", "", ROUND((($K381 + Settings!$B$3 + $R381) - IF($M381="",0,$M381))/(1-Settings!$B$2),2)))</f>
        <v/>
      </c>
      <c r="V381" s="9" t="str">
        <f>IF($A381="","",$L381-($L381*Settings!$B$2)-$J381-($B381+SUM($D381:$I381)))</f>
        <v/>
      </c>
      <c r="W381" s="9" t="str">
        <f>IF($A381="","",(($B381+SUM($D381:$I381)+$J381+Settings!$B$3)/(1-Settings!$B$2))-$M381)</f>
        <v/>
      </c>
      <c r="X381" s="10" t="str">
        <f t="shared" si="49"/>
        <v/>
      </c>
      <c r="Y381" s="10" t="str">
        <f t="shared" si="50"/>
        <v/>
      </c>
      <c r="Z381" s="10" t="str">
        <f t="shared" si="51"/>
        <v/>
      </c>
      <c r="AA381" s="10" t="str">
        <f t="shared" si="52"/>
        <v/>
      </c>
      <c r="AC381" s="11"/>
      <c r="AD381" s="11"/>
      <c r="AE381" s="12" t="str">
        <f t="shared" si="53"/>
        <v/>
      </c>
    </row>
    <row r="382" spans="2:31" x14ac:dyDescent="0.25">
      <c r="B382" s="9"/>
      <c r="C382" t="s">
        <v>31</v>
      </c>
      <c r="D382" s="9" t="str">
        <f>IF($A382="","",1*'Material Costs'!$D$3)</f>
        <v/>
      </c>
      <c r="E382" s="9" t="str">
        <f>IF($A382="","",1*'Material Costs'!$D$2)</f>
        <v/>
      </c>
      <c r="F382" s="9" t="str">
        <f>IF($A382="","",IF($C382="Bubble Mailer",2,1)*'Material Costs'!$D$6)</f>
        <v/>
      </c>
      <c r="G382" s="9" t="str">
        <f>IF($A382="","",1*'Material Costs'!$D$7)</f>
        <v/>
      </c>
      <c r="H382" s="9" t="str">
        <f>IF($A382="","",IF($C382="Bubble Mailer",1,0)*'Material Costs'!$D$5)</f>
        <v/>
      </c>
      <c r="I382" s="9" t="str">
        <f>IF($A382="","",IF($C382="ESE (Ding Defend)",1,0)*'Material Costs'!$D$4)</f>
        <v/>
      </c>
      <c r="J382" s="9"/>
      <c r="K382" s="9" t="str">
        <f t="shared" si="45"/>
        <v/>
      </c>
      <c r="L382" s="9"/>
      <c r="M382" s="9"/>
      <c r="N382" s="9"/>
      <c r="O382" s="9" t="str">
        <f t="shared" si="46"/>
        <v/>
      </c>
      <c r="P382" s="9"/>
      <c r="Q382" s="9" t="str">
        <f>IF($A382="","",IF($O382="", "", ROUND($O382*Settings!$B$2+Settings!$B$3,2)))</f>
        <v/>
      </c>
      <c r="R382" s="9" t="str">
        <f>IF($A382="","",IF($L382="", "", Settings!$B$4))</f>
        <v/>
      </c>
      <c r="S382" s="9" t="str">
        <f t="shared" si="47"/>
        <v/>
      </c>
      <c r="T382" s="9" t="str">
        <f t="shared" si="48"/>
        <v/>
      </c>
      <c r="U382" s="9" t="str">
        <f>IF($A382="","",IF($K382="", "", ROUND((($K382 + Settings!$B$3 + $R382) - IF($M382="",0,$M382))/(1-Settings!$B$2),2)))</f>
        <v/>
      </c>
      <c r="V382" s="9" t="str">
        <f>IF($A382="","",$L382-($L382*Settings!$B$2)-$J382-($B382+SUM($D382:$I382)))</f>
        <v/>
      </c>
      <c r="W382" s="9" t="str">
        <f>IF($A382="","",(($B382+SUM($D382:$I382)+$J382+Settings!$B$3)/(1-Settings!$B$2))-$M382)</f>
        <v/>
      </c>
      <c r="X382" s="10" t="str">
        <f t="shared" si="49"/>
        <v/>
      </c>
      <c r="Y382" s="10" t="str">
        <f t="shared" si="50"/>
        <v/>
      </c>
      <c r="Z382" s="10" t="str">
        <f t="shared" si="51"/>
        <v/>
      </c>
      <c r="AA382" s="10" t="str">
        <f t="shared" si="52"/>
        <v/>
      </c>
      <c r="AC382" s="11"/>
      <c r="AD382" s="11"/>
      <c r="AE382" s="12" t="str">
        <f t="shared" si="53"/>
        <v/>
      </c>
    </row>
    <row r="383" spans="2:31" x14ac:dyDescent="0.25">
      <c r="B383" s="9"/>
      <c r="C383" t="s">
        <v>31</v>
      </c>
      <c r="D383" s="9" t="str">
        <f>IF($A383="","",1*'Material Costs'!$D$3)</f>
        <v/>
      </c>
      <c r="E383" s="9" t="str">
        <f>IF($A383="","",1*'Material Costs'!$D$2)</f>
        <v/>
      </c>
      <c r="F383" s="9" t="str">
        <f>IF($A383="","",IF($C383="Bubble Mailer",2,1)*'Material Costs'!$D$6)</f>
        <v/>
      </c>
      <c r="G383" s="9" t="str">
        <f>IF($A383="","",1*'Material Costs'!$D$7)</f>
        <v/>
      </c>
      <c r="H383" s="9" t="str">
        <f>IF($A383="","",IF($C383="Bubble Mailer",1,0)*'Material Costs'!$D$5)</f>
        <v/>
      </c>
      <c r="I383" s="9" t="str">
        <f>IF($A383="","",IF($C383="ESE (Ding Defend)",1,0)*'Material Costs'!$D$4)</f>
        <v/>
      </c>
      <c r="J383" s="9"/>
      <c r="K383" s="9" t="str">
        <f t="shared" si="45"/>
        <v/>
      </c>
      <c r="L383" s="9"/>
      <c r="M383" s="9"/>
      <c r="N383" s="9"/>
      <c r="O383" s="9" t="str">
        <f t="shared" si="46"/>
        <v/>
      </c>
      <c r="P383" s="9"/>
      <c r="Q383" s="9" t="str">
        <f>IF($A383="","",IF($O383="", "", ROUND($O383*Settings!$B$2+Settings!$B$3,2)))</f>
        <v/>
      </c>
      <c r="R383" s="9" t="str">
        <f>IF($A383="","",IF($L383="", "", Settings!$B$4))</f>
        <v/>
      </c>
      <c r="S383" s="9" t="str">
        <f t="shared" si="47"/>
        <v/>
      </c>
      <c r="T383" s="9" t="str">
        <f t="shared" si="48"/>
        <v/>
      </c>
      <c r="U383" s="9" t="str">
        <f>IF($A383="","",IF($K383="", "", ROUND((($K383 + Settings!$B$3 + $R383) - IF($M383="",0,$M383))/(1-Settings!$B$2),2)))</f>
        <v/>
      </c>
      <c r="V383" s="9" t="str">
        <f>IF($A383="","",$L383-($L383*Settings!$B$2)-$J383-($B383+SUM($D383:$I383)))</f>
        <v/>
      </c>
      <c r="W383" s="9" t="str">
        <f>IF($A383="","",(($B383+SUM($D383:$I383)+$J383+Settings!$B$3)/(1-Settings!$B$2))-$M383)</f>
        <v/>
      </c>
      <c r="X383" s="10" t="str">
        <f t="shared" si="49"/>
        <v/>
      </c>
      <c r="Y383" s="10" t="str">
        <f t="shared" si="50"/>
        <v/>
      </c>
      <c r="Z383" s="10" t="str">
        <f t="shared" si="51"/>
        <v/>
      </c>
      <c r="AA383" s="10" t="str">
        <f t="shared" si="52"/>
        <v/>
      </c>
      <c r="AC383" s="11"/>
      <c r="AD383" s="11"/>
      <c r="AE383" s="12" t="str">
        <f t="shared" si="53"/>
        <v/>
      </c>
    </row>
    <row r="384" spans="2:31" x14ac:dyDescent="0.25">
      <c r="B384" s="9"/>
      <c r="C384" t="s">
        <v>31</v>
      </c>
      <c r="D384" s="9" t="str">
        <f>IF($A384="","",1*'Material Costs'!$D$3)</f>
        <v/>
      </c>
      <c r="E384" s="9" t="str">
        <f>IF($A384="","",1*'Material Costs'!$D$2)</f>
        <v/>
      </c>
      <c r="F384" s="9" t="str">
        <f>IF($A384="","",IF($C384="Bubble Mailer",2,1)*'Material Costs'!$D$6)</f>
        <v/>
      </c>
      <c r="G384" s="9" t="str">
        <f>IF($A384="","",1*'Material Costs'!$D$7)</f>
        <v/>
      </c>
      <c r="H384" s="9" t="str">
        <f>IF($A384="","",IF($C384="Bubble Mailer",1,0)*'Material Costs'!$D$5)</f>
        <v/>
      </c>
      <c r="I384" s="9" t="str">
        <f>IF($A384="","",IF($C384="ESE (Ding Defend)",1,0)*'Material Costs'!$D$4)</f>
        <v/>
      </c>
      <c r="J384" s="9"/>
      <c r="K384" s="9" t="str">
        <f t="shared" si="45"/>
        <v/>
      </c>
      <c r="L384" s="9"/>
      <c r="M384" s="9"/>
      <c r="N384" s="9"/>
      <c r="O384" s="9" t="str">
        <f t="shared" si="46"/>
        <v/>
      </c>
      <c r="P384" s="9"/>
      <c r="Q384" s="9" t="str">
        <f>IF($A384="","",IF($O384="", "", ROUND($O384*Settings!$B$2+Settings!$B$3,2)))</f>
        <v/>
      </c>
      <c r="R384" s="9" t="str">
        <f>IF($A384="","",IF($L384="", "", Settings!$B$4))</f>
        <v/>
      </c>
      <c r="S384" s="9" t="str">
        <f t="shared" si="47"/>
        <v/>
      </c>
      <c r="T384" s="9" t="str">
        <f t="shared" si="48"/>
        <v/>
      </c>
      <c r="U384" s="9" t="str">
        <f>IF($A384="","",IF($K384="", "", ROUND((($K384 + Settings!$B$3 + $R384) - IF($M384="",0,$M384))/(1-Settings!$B$2),2)))</f>
        <v/>
      </c>
      <c r="V384" s="9" t="str">
        <f>IF($A384="","",$L384-($L384*Settings!$B$2)-$J384-($B384+SUM($D384:$I384)))</f>
        <v/>
      </c>
      <c r="W384" s="9" t="str">
        <f>IF($A384="","",(($B384+SUM($D384:$I384)+$J384+Settings!$B$3)/(1-Settings!$B$2))-$M384)</f>
        <v/>
      </c>
      <c r="X384" s="10" t="str">
        <f t="shared" si="49"/>
        <v/>
      </c>
      <c r="Y384" s="10" t="str">
        <f t="shared" si="50"/>
        <v/>
      </c>
      <c r="Z384" s="10" t="str">
        <f t="shared" si="51"/>
        <v/>
      </c>
      <c r="AA384" s="10" t="str">
        <f t="shared" si="52"/>
        <v/>
      </c>
      <c r="AC384" s="11"/>
      <c r="AD384" s="11"/>
      <c r="AE384" s="12" t="str">
        <f t="shared" si="53"/>
        <v/>
      </c>
    </row>
    <row r="385" spans="2:31" x14ac:dyDescent="0.25">
      <c r="B385" s="9"/>
      <c r="C385" t="s">
        <v>31</v>
      </c>
      <c r="D385" s="9" t="str">
        <f>IF($A385="","",1*'Material Costs'!$D$3)</f>
        <v/>
      </c>
      <c r="E385" s="9" t="str">
        <f>IF($A385="","",1*'Material Costs'!$D$2)</f>
        <v/>
      </c>
      <c r="F385" s="9" t="str">
        <f>IF($A385="","",IF($C385="Bubble Mailer",2,1)*'Material Costs'!$D$6)</f>
        <v/>
      </c>
      <c r="G385" s="9" t="str">
        <f>IF($A385="","",1*'Material Costs'!$D$7)</f>
        <v/>
      </c>
      <c r="H385" s="9" t="str">
        <f>IF($A385="","",IF($C385="Bubble Mailer",1,0)*'Material Costs'!$D$5)</f>
        <v/>
      </c>
      <c r="I385" s="9" t="str">
        <f>IF($A385="","",IF($C385="ESE (Ding Defend)",1,0)*'Material Costs'!$D$4)</f>
        <v/>
      </c>
      <c r="J385" s="9"/>
      <c r="K385" s="9" t="str">
        <f t="shared" ref="K385:K448" si="54">IF($A385="","",SUM($B385:$J385))</f>
        <v/>
      </c>
      <c r="L385" s="9"/>
      <c r="M385" s="9"/>
      <c r="N385" s="9"/>
      <c r="O385" s="9" t="str">
        <f t="shared" ref="O385:O448" si="55">IF($A385="","",SUM($L385:$N385))</f>
        <v/>
      </c>
      <c r="P385" s="9"/>
      <c r="Q385" s="9" t="str">
        <f>IF($A385="","",IF($O385="", "", ROUND($O385*Settings!$B$2+Settings!$B$3,2)))</f>
        <v/>
      </c>
      <c r="R385" s="9" t="str">
        <f>IF($A385="","",IF($L385="", "", Settings!$B$4))</f>
        <v/>
      </c>
      <c r="S385" s="9" t="str">
        <f t="shared" ref="S385:S448" si="56">IF($A385="","",IF($O385="", "", ROUND($O385 - IF($P385&lt;&gt;"",$P385,$Q385) - $R385,2)))</f>
        <v/>
      </c>
      <c r="T385" s="9" t="str">
        <f t="shared" ref="T385:T448" si="57">IF($A385="","",IF($S385="", "", ROUND($S385 - $K385,2)))</f>
        <v/>
      </c>
      <c r="U385" s="9" t="str">
        <f>IF($A385="","",IF($K385="", "", ROUND((($K385 + Settings!$B$3 + $R385) - IF($M385="",0,$M385))/(1-Settings!$B$2),2)))</f>
        <v/>
      </c>
      <c r="V385" s="9" t="str">
        <f>IF($A385="","",$L385-($L385*Settings!$B$2)-$J385-($B385+SUM($D385:$I385)))</f>
        <v/>
      </c>
      <c r="W385" s="9" t="str">
        <f>IF($A385="","",(($B385+SUM($D385:$I385)+$J385+Settings!$B$3)/(1-Settings!$B$2))-$M385)</f>
        <v/>
      </c>
      <c r="X385" s="10" t="str">
        <f t="shared" ref="X385:X448" si="58">IF($A385="","",IF($O385="", "", IFERROR($T385/$O385, "")))</f>
        <v/>
      </c>
      <c r="Y385" s="10" t="str">
        <f t="shared" ref="Y385:Y448" si="59">IF($A385="","",IF($K385="", "", IFERROR($T385/$K385, "")))</f>
        <v/>
      </c>
      <c r="Z385" s="10" t="str">
        <f t="shared" ref="Z385:Z448" si="60">IF($A385="","",IF($O385="", "", IFERROR($Q385/$O385, "")))</f>
        <v/>
      </c>
      <c r="AA385" s="10" t="str">
        <f t="shared" ref="AA385:AA448" si="61">IF($A385="","",IF($L385="", "", IFERROR($T385/$L385, "")))</f>
        <v/>
      </c>
      <c r="AC385" s="11"/>
      <c r="AD385" s="11"/>
      <c r="AE385" s="12" t="str">
        <f t="shared" ref="AE385:AE448" si="62">IF($A385="","",IF(OR($AC385="", $AD385=""),"", $AD385-$AC385))</f>
        <v/>
      </c>
    </row>
    <row r="386" spans="2:31" x14ac:dyDescent="0.25">
      <c r="B386" s="9"/>
      <c r="C386" t="s">
        <v>31</v>
      </c>
      <c r="D386" s="9" t="str">
        <f>IF($A386="","",1*'Material Costs'!$D$3)</f>
        <v/>
      </c>
      <c r="E386" s="9" t="str">
        <f>IF($A386="","",1*'Material Costs'!$D$2)</f>
        <v/>
      </c>
      <c r="F386" s="9" t="str">
        <f>IF($A386="","",IF($C386="Bubble Mailer",2,1)*'Material Costs'!$D$6)</f>
        <v/>
      </c>
      <c r="G386" s="9" t="str">
        <f>IF($A386="","",1*'Material Costs'!$D$7)</f>
        <v/>
      </c>
      <c r="H386" s="9" t="str">
        <f>IF($A386="","",IF($C386="Bubble Mailer",1,0)*'Material Costs'!$D$5)</f>
        <v/>
      </c>
      <c r="I386" s="9" t="str">
        <f>IF($A386="","",IF($C386="ESE (Ding Defend)",1,0)*'Material Costs'!$D$4)</f>
        <v/>
      </c>
      <c r="J386" s="9"/>
      <c r="K386" s="9" t="str">
        <f t="shared" si="54"/>
        <v/>
      </c>
      <c r="L386" s="9"/>
      <c r="M386" s="9"/>
      <c r="N386" s="9"/>
      <c r="O386" s="9" t="str">
        <f t="shared" si="55"/>
        <v/>
      </c>
      <c r="P386" s="9"/>
      <c r="Q386" s="9" t="str">
        <f>IF($A386="","",IF($O386="", "", ROUND($O386*Settings!$B$2+Settings!$B$3,2)))</f>
        <v/>
      </c>
      <c r="R386" s="9" t="str">
        <f>IF($A386="","",IF($L386="", "", Settings!$B$4))</f>
        <v/>
      </c>
      <c r="S386" s="9" t="str">
        <f t="shared" si="56"/>
        <v/>
      </c>
      <c r="T386" s="9" t="str">
        <f t="shared" si="57"/>
        <v/>
      </c>
      <c r="U386" s="9" t="str">
        <f>IF($A386="","",IF($K386="", "", ROUND((($K386 + Settings!$B$3 + $R386) - IF($M386="",0,$M386))/(1-Settings!$B$2),2)))</f>
        <v/>
      </c>
      <c r="V386" s="9" t="str">
        <f>IF($A386="","",$L386-($L386*Settings!$B$2)-$J386-($B386+SUM($D386:$I386)))</f>
        <v/>
      </c>
      <c r="W386" s="9" t="str">
        <f>IF($A386="","",(($B386+SUM($D386:$I386)+$J386+Settings!$B$3)/(1-Settings!$B$2))-$M386)</f>
        <v/>
      </c>
      <c r="X386" s="10" t="str">
        <f t="shared" si="58"/>
        <v/>
      </c>
      <c r="Y386" s="10" t="str">
        <f t="shared" si="59"/>
        <v/>
      </c>
      <c r="Z386" s="10" t="str">
        <f t="shared" si="60"/>
        <v/>
      </c>
      <c r="AA386" s="10" t="str">
        <f t="shared" si="61"/>
        <v/>
      </c>
      <c r="AC386" s="11"/>
      <c r="AD386" s="11"/>
      <c r="AE386" s="12" t="str">
        <f t="shared" si="62"/>
        <v/>
      </c>
    </row>
    <row r="387" spans="2:31" x14ac:dyDescent="0.25">
      <c r="B387" s="9"/>
      <c r="C387" t="s">
        <v>31</v>
      </c>
      <c r="D387" s="9" t="str">
        <f>IF($A387="","",1*'Material Costs'!$D$3)</f>
        <v/>
      </c>
      <c r="E387" s="9" t="str">
        <f>IF($A387="","",1*'Material Costs'!$D$2)</f>
        <v/>
      </c>
      <c r="F387" s="9" t="str">
        <f>IF($A387="","",IF($C387="Bubble Mailer",2,1)*'Material Costs'!$D$6)</f>
        <v/>
      </c>
      <c r="G387" s="9" t="str">
        <f>IF($A387="","",1*'Material Costs'!$D$7)</f>
        <v/>
      </c>
      <c r="H387" s="9" t="str">
        <f>IF($A387="","",IF($C387="Bubble Mailer",1,0)*'Material Costs'!$D$5)</f>
        <v/>
      </c>
      <c r="I387" s="9" t="str">
        <f>IF($A387="","",IF($C387="ESE (Ding Defend)",1,0)*'Material Costs'!$D$4)</f>
        <v/>
      </c>
      <c r="J387" s="9"/>
      <c r="K387" s="9" t="str">
        <f t="shared" si="54"/>
        <v/>
      </c>
      <c r="L387" s="9"/>
      <c r="M387" s="9"/>
      <c r="N387" s="9"/>
      <c r="O387" s="9" t="str">
        <f t="shared" si="55"/>
        <v/>
      </c>
      <c r="P387" s="9"/>
      <c r="Q387" s="9" t="str">
        <f>IF($A387="","",IF($O387="", "", ROUND($O387*Settings!$B$2+Settings!$B$3,2)))</f>
        <v/>
      </c>
      <c r="R387" s="9" t="str">
        <f>IF($A387="","",IF($L387="", "", Settings!$B$4))</f>
        <v/>
      </c>
      <c r="S387" s="9" t="str">
        <f t="shared" si="56"/>
        <v/>
      </c>
      <c r="T387" s="9" t="str">
        <f t="shared" si="57"/>
        <v/>
      </c>
      <c r="U387" s="9" t="str">
        <f>IF($A387="","",IF($K387="", "", ROUND((($K387 + Settings!$B$3 + $R387) - IF($M387="",0,$M387))/(1-Settings!$B$2),2)))</f>
        <v/>
      </c>
      <c r="V387" s="9" t="str">
        <f>IF($A387="","",$L387-($L387*Settings!$B$2)-$J387-($B387+SUM($D387:$I387)))</f>
        <v/>
      </c>
      <c r="W387" s="9" t="str">
        <f>IF($A387="","",(($B387+SUM($D387:$I387)+$J387+Settings!$B$3)/(1-Settings!$B$2))-$M387)</f>
        <v/>
      </c>
      <c r="X387" s="10" t="str">
        <f t="shared" si="58"/>
        <v/>
      </c>
      <c r="Y387" s="10" t="str">
        <f t="shared" si="59"/>
        <v/>
      </c>
      <c r="Z387" s="10" t="str">
        <f t="shared" si="60"/>
        <v/>
      </c>
      <c r="AA387" s="10" t="str">
        <f t="shared" si="61"/>
        <v/>
      </c>
      <c r="AC387" s="11"/>
      <c r="AD387" s="11"/>
      <c r="AE387" s="12" t="str">
        <f t="shared" si="62"/>
        <v/>
      </c>
    </row>
    <row r="388" spans="2:31" x14ac:dyDescent="0.25">
      <c r="B388" s="9"/>
      <c r="C388" t="s">
        <v>31</v>
      </c>
      <c r="D388" s="9" t="str">
        <f>IF($A388="","",1*'Material Costs'!$D$3)</f>
        <v/>
      </c>
      <c r="E388" s="9" t="str">
        <f>IF($A388="","",1*'Material Costs'!$D$2)</f>
        <v/>
      </c>
      <c r="F388" s="9" t="str">
        <f>IF($A388="","",IF($C388="Bubble Mailer",2,1)*'Material Costs'!$D$6)</f>
        <v/>
      </c>
      <c r="G388" s="9" t="str">
        <f>IF($A388="","",1*'Material Costs'!$D$7)</f>
        <v/>
      </c>
      <c r="H388" s="9" t="str">
        <f>IF($A388="","",IF($C388="Bubble Mailer",1,0)*'Material Costs'!$D$5)</f>
        <v/>
      </c>
      <c r="I388" s="9" t="str">
        <f>IF($A388="","",IF($C388="ESE (Ding Defend)",1,0)*'Material Costs'!$D$4)</f>
        <v/>
      </c>
      <c r="J388" s="9"/>
      <c r="K388" s="9" t="str">
        <f t="shared" si="54"/>
        <v/>
      </c>
      <c r="L388" s="9"/>
      <c r="M388" s="9"/>
      <c r="N388" s="9"/>
      <c r="O388" s="9" t="str">
        <f t="shared" si="55"/>
        <v/>
      </c>
      <c r="P388" s="9"/>
      <c r="Q388" s="9" t="str">
        <f>IF($A388="","",IF($O388="", "", ROUND($O388*Settings!$B$2+Settings!$B$3,2)))</f>
        <v/>
      </c>
      <c r="R388" s="9" t="str">
        <f>IF($A388="","",IF($L388="", "", Settings!$B$4))</f>
        <v/>
      </c>
      <c r="S388" s="9" t="str">
        <f t="shared" si="56"/>
        <v/>
      </c>
      <c r="T388" s="9" t="str">
        <f t="shared" si="57"/>
        <v/>
      </c>
      <c r="U388" s="9" t="str">
        <f>IF($A388="","",IF($K388="", "", ROUND((($K388 + Settings!$B$3 + $R388) - IF($M388="",0,$M388))/(1-Settings!$B$2),2)))</f>
        <v/>
      </c>
      <c r="V388" s="9" t="str">
        <f>IF($A388="","",$L388-($L388*Settings!$B$2)-$J388-($B388+SUM($D388:$I388)))</f>
        <v/>
      </c>
      <c r="W388" s="9" t="str">
        <f>IF($A388="","",(($B388+SUM($D388:$I388)+$J388+Settings!$B$3)/(1-Settings!$B$2))-$M388)</f>
        <v/>
      </c>
      <c r="X388" s="10" t="str">
        <f t="shared" si="58"/>
        <v/>
      </c>
      <c r="Y388" s="10" t="str">
        <f t="shared" si="59"/>
        <v/>
      </c>
      <c r="Z388" s="10" t="str">
        <f t="shared" si="60"/>
        <v/>
      </c>
      <c r="AA388" s="10" t="str">
        <f t="shared" si="61"/>
        <v/>
      </c>
      <c r="AC388" s="11"/>
      <c r="AD388" s="11"/>
      <c r="AE388" s="12" t="str">
        <f t="shared" si="62"/>
        <v/>
      </c>
    </row>
    <row r="389" spans="2:31" x14ac:dyDescent="0.25">
      <c r="B389" s="9"/>
      <c r="C389" t="s">
        <v>31</v>
      </c>
      <c r="D389" s="9" t="str">
        <f>IF($A389="","",1*'Material Costs'!$D$3)</f>
        <v/>
      </c>
      <c r="E389" s="9" t="str">
        <f>IF($A389="","",1*'Material Costs'!$D$2)</f>
        <v/>
      </c>
      <c r="F389" s="9" t="str">
        <f>IF($A389="","",IF($C389="Bubble Mailer",2,1)*'Material Costs'!$D$6)</f>
        <v/>
      </c>
      <c r="G389" s="9" t="str">
        <f>IF($A389="","",1*'Material Costs'!$D$7)</f>
        <v/>
      </c>
      <c r="H389" s="9" t="str">
        <f>IF($A389="","",IF($C389="Bubble Mailer",1,0)*'Material Costs'!$D$5)</f>
        <v/>
      </c>
      <c r="I389" s="9" t="str">
        <f>IF($A389="","",IF($C389="ESE (Ding Defend)",1,0)*'Material Costs'!$D$4)</f>
        <v/>
      </c>
      <c r="J389" s="9"/>
      <c r="K389" s="9" t="str">
        <f t="shared" si="54"/>
        <v/>
      </c>
      <c r="L389" s="9"/>
      <c r="M389" s="9"/>
      <c r="N389" s="9"/>
      <c r="O389" s="9" t="str">
        <f t="shared" si="55"/>
        <v/>
      </c>
      <c r="P389" s="9"/>
      <c r="Q389" s="9" t="str">
        <f>IF($A389="","",IF($O389="", "", ROUND($O389*Settings!$B$2+Settings!$B$3,2)))</f>
        <v/>
      </c>
      <c r="R389" s="9" t="str">
        <f>IF($A389="","",IF($L389="", "", Settings!$B$4))</f>
        <v/>
      </c>
      <c r="S389" s="9" t="str">
        <f t="shared" si="56"/>
        <v/>
      </c>
      <c r="T389" s="9" t="str">
        <f t="shared" si="57"/>
        <v/>
      </c>
      <c r="U389" s="9" t="str">
        <f>IF($A389="","",IF($K389="", "", ROUND((($K389 + Settings!$B$3 + $R389) - IF($M389="",0,$M389))/(1-Settings!$B$2),2)))</f>
        <v/>
      </c>
      <c r="V389" s="9" t="str">
        <f>IF($A389="","",$L389-($L389*Settings!$B$2)-$J389-($B389+SUM($D389:$I389)))</f>
        <v/>
      </c>
      <c r="W389" s="9" t="str">
        <f>IF($A389="","",(($B389+SUM($D389:$I389)+$J389+Settings!$B$3)/(1-Settings!$B$2))-$M389)</f>
        <v/>
      </c>
      <c r="X389" s="10" t="str">
        <f t="shared" si="58"/>
        <v/>
      </c>
      <c r="Y389" s="10" t="str">
        <f t="shared" si="59"/>
        <v/>
      </c>
      <c r="Z389" s="10" t="str">
        <f t="shared" si="60"/>
        <v/>
      </c>
      <c r="AA389" s="10" t="str">
        <f t="shared" si="61"/>
        <v/>
      </c>
      <c r="AC389" s="11"/>
      <c r="AD389" s="11"/>
      <c r="AE389" s="12" t="str">
        <f t="shared" si="62"/>
        <v/>
      </c>
    </row>
    <row r="390" spans="2:31" x14ac:dyDescent="0.25">
      <c r="B390" s="9"/>
      <c r="C390" t="s">
        <v>31</v>
      </c>
      <c r="D390" s="9" t="str">
        <f>IF($A390="","",1*'Material Costs'!$D$3)</f>
        <v/>
      </c>
      <c r="E390" s="9" t="str">
        <f>IF($A390="","",1*'Material Costs'!$D$2)</f>
        <v/>
      </c>
      <c r="F390" s="9" t="str">
        <f>IF($A390="","",IF($C390="Bubble Mailer",2,1)*'Material Costs'!$D$6)</f>
        <v/>
      </c>
      <c r="G390" s="9" t="str">
        <f>IF($A390="","",1*'Material Costs'!$D$7)</f>
        <v/>
      </c>
      <c r="H390" s="9" t="str">
        <f>IF($A390="","",IF($C390="Bubble Mailer",1,0)*'Material Costs'!$D$5)</f>
        <v/>
      </c>
      <c r="I390" s="9" t="str">
        <f>IF($A390="","",IF($C390="ESE (Ding Defend)",1,0)*'Material Costs'!$D$4)</f>
        <v/>
      </c>
      <c r="J390" s="9"/>
      <c r="K390" s="9" t="str">
        <f t="shared" si="54"/>
        <v/>
      </c>
      <c r="L390" s="9"/>
      <c r="M390" s="9"/>
      <c r="N390" s="9"/>
      <c r="O390" s="9" t="str">
        <f t="shared" si="55"/>
        <v/>
      </c>
      <c r="P390" s="9"/>
      <c r="Q390" s="9" t="str">
        <f>IF($A390="","",IF($O390="", "", ROUND($O390*Settings!$B$2+Settings!$B$3,2)))</f>
        <v/>
      </c>
      <c r="R390" s="9" t="str">
        <f>IF($A390="","",IF($L390="", "", Settings!$B$4))</f>
        <v/>
      </c>
      <c r="S390" s="9" t="str">
        <f t="shared" si="56"/>
        <v/>
      </c>
      <c r="T390" s="9" t="str">
        <f t="shared" si="57"/>
        <v/>
      </c>
      <c r="U390" s="9" t="str">
        <f>IF($A390="","",IF($K390="", "", ROUND((($K390 + Settings!$B$3 + $R390) - IF($M390="",0,$M390))/(1-Settings!$B$2),2)))</f>
        <v/>
      </c>
      <c r="V390" s="9" t="str">
        <f>IF($A390="","",$L390-($L390*Settings!$B$2)-$J390-($B390+SUM($D390:$I390)))</f>
        <v/>
      </c>
      <c r="W390" s="9" t="str">
        <f>IF($A390="","",(($B390+SUM($D390:$I390)+$J390+Settings!$B$3)/(1-Settings!$B$2))-$M390)</f>
        <v/>
      </c>
      <c r="X390" s="10" t="str">
        <f t="shared" si="58"/>
        <v/>
      </c>
      <c r="Y390" s="10" t="str">
        <f t="shared" si="59"/>
        <v/>
      </c>
      <c r="Z390" s="10" t="str">
        <f t="shared" si="60"/>
        <v/>
      </c>
      <c r="AA390" s="10" t="str">
        <f t="shared" si="61"/>
        <v/>
      </c>
      <c r="AC390" s="11"/>
      <c r="AD390" s="11"/>
      <c r="AE390" s="12" t="str">
        <f t="shared" si="62"/>
        <v/>
      </c>
    </row>
    <row r="391" spans="2:31" x14ac:dyDescent="0.25">
      <c r="B391" s="9"/>
      <c r="C391" t="s">
        <v>31</v>
      </c>
      <c r="D391" s="9" t="str">
        <f>IF($A391="","",1*'Material Costs'!$D$3)</f>
        <v/>
      </c>
      <c r="E391" s="9" t="str">
        <f>IF($A391="","",1*'Material Costs'!$D$2)</f>
        <v/>
      </c>
      <c r="F391" s="9" t="str">
        <f>IF($A391="","",IF($C391="Bubble Mailer",2,1)*'Material Costs'!$D$6)</f>
        <v/>
      </c>
      <c r="G391" s="9" t="str">
        <f>IF($A391="","",1*'Material Costs'!$D$7)</f>
        <v/>
      </c>
      <c r="H391" s="9" t="str">
        <f>IF($A391="","",IF($C391="Bubble Mailer",1,0)*'Material Costs'!$D$5)</f>
        <v/>
      </c>
      <c r="I391" s="9" t="str">
        <f>IF($A391="","",IF($C391="ESE (Ding Defend)",1,0)*'Material Costs'!$D$4)</f>
        <v/>
      </c>
      <c r="J391" s="9"/>
      <c r="K391" s="9" t="str">
        <f t="shared" si="54"/>
        <v/>
      </c>
      <c r="L391" s="9"/>
      <c r="M391" s="9"/>
      <c r="N391" s="9"/>
      <c r="O391" s="9" t="str">
        <f t="shared" si="55"/>
        <v/>
      </c>
      <c r="P391" s="9"/>
      <c r="Q391" s="9" t="str">
        <f>IF($A391="","",IF($O391="", "", ROUND($O391*Settings!$B$2+Settings!$B$3,2)))</f>
        <v/>
      </c>
      <c r="R391" s="9" t="str">
        <f>IF($A391="","",IF($L391="", "", Settings!$B$4))</f>
        <v/>
      </c>
      <c r="S391" s="9" t="str">
        <f t="shared" si="56"/>
        <v/>
      </c>
      <c r="T391" s="9" t="str">
        <f t="shared" si="57"/>
        <v/>
      </c>
      <c r="U391" s="9" t="str">
        <f>IF($A391="","",IF($K391="", "", ROUND((($K391 + Settings!$B$3 + $R391) - IF($M391="",0,$M391))/(1-Settings!$B$2),2)))</f>
        <v/>
      </c>
      <c r="V391" s="9" t="str">
        <f>IF($A391="","",$L391-($L391*Settings!$B$2)-$J391-($B391+SUM($D391:$I391)))</f>
        <v/>
      </c>
      <c r="W391" s="9" t="str">
        <f>IF($A391="","",(($B391+SUM($D391:$I391)+$J391+Settings!$B$3)/(1-Settings!$B$2))-$M391)</f>
        <v/>
      </c>
      <c r="X391" s="10" t="str">
        <f t="shared" si="58"/>
        <v/>
      </c>
      <c r="Y391" s="10" t="str">
        <f t="shared" si="59"/>
        <v/>
      </c>
      <c r="Z391" s="10" t="str">
        <f t="shared" si="60"/>
        <v/>
      </c>
      <c r="AA391" s="10" t="str">
        <f t="shared" si="61"/>
        <v/>
      </c>
      <c r="AC391" s="11"/>
      <c r="AD391" s="11"/>
      <c r="AE391" s="12" t="str">
        <f t="shared" si="62"/>
        <v/>
      </c>
    </row>
    <row r="392" spans="2:31" x14ac:dyDescent="0.25">
      <c r="B392" s="9"/>
      <c r="C392" t="s">
        <v>31</v>
      </c>
      <c r="D392" s="9" t="str">
        <f>IF($A392="","",1*'Material Costs'!$D$3)</f>
        <v/>
      </c>
      <c r="E392" s="9" t="str">
        <f>IF($A392="","",1*'Material Costs'!$D$2)</f>
        <v/>
      </c>
      <c r="F392" s="9" t="str">
        <f>IF($A392="","",IF($C392="Bubble Mailer",2,1)*'Material Costs'!$D$6)</f>
        <v/>
      </c>
      <c r="G392" s="9" t="str">
        <f>IF($A392="","",1*'Material Costs'!$D$7)</f>
        <v/>
      </c>
      <c r="H392" s="9" t="str">
        <f>IF($A392="","",IF($C392="Bubble Mailer",1,0)*'Material Costs'!$D$5)</f>
        <v/>
      </c>
      <c r="I392" s="9" t="str">
        <f>IF($A392="","",IF($C392="ESE (Ding Defend)",1,0)*'Material Costs'!$D$4)</f>
        <v/>
      </c>
      <c r="J392" s="9"/>
      <c r="K392" s="9" t="str">
        <f t="shared" si="54"/>
        <v/>
      </c>
      <c r="L392" s="9"/>
      <c r="M392" s="9"/>
      <c r="N392" s="9"/>
      <c r="O392" s="9" t="str">
        <f t="shared" si="55"/>
        <v/>
      </c>
      <c r="P392" s="9"/>
      <c r="Q392" s="9" t="str">
        <f>IF($A392="","",IF($O392="", "", ROUND($O392*Settings!$B$2+Settings!$B$3,2)))</f>
        <v/>
      </c>
      <c r="R392" s="9" t="str">
        <f>IF($A392="","",IF($L392="", "", Settings!$B$4))</f>
        <v/>
      </c>
      <c r="S392" s="9" t="str">
        <f t="shared" si="56"/>
        <v/>
      </c>
      <c r="T392" s="9" t="str">
        <f t="shared" si="57"/>
        <v/>
      </c>
      <c r="U392" s="9" t="str">
        <f>IF($A392="","",IF($K392="", "", ROUND((($K392 + Settings!$B$3 + $R392) - IF($M392="",0,$M392))/(1-Settings!$B$2),2)))</f>
        <v/>
      </c>
      <c r="V392" s="9" t="str">
        <f>IF($A392="","",$L392-($L392*Settings!$B$2)-$J392-($B392+SUM($D392:$I392)))</f>
        <v/>
      </c>
      <c r="W392" s="9" t="str">
        <f>IF($A392="","",(($B392+SUM($D392:$I392)+$J392+Settings!$B$3)/(1-Settings!$B$2))-$M392)</f>
        <v/>
      </c>
      <c r="X392" s="10" t="str">
        <f t="shared" si="58"/>
        <v/>
      </c>
      <c r="Y392" s="10" t="str">
        <f t="shared" si="59"/>
        <v/>
      </c>
      <c r="Z392" s="10" t="str">
        <f t="shared" si="60"/>
        <v/>
      </c>
      <c r="AA392" s="10" t="str">
        <f t="shared" si="61"/>
        <v/>
      </c>
      <c r="AC392" s="11"/>
      <c r="AD392" s="11"/>
      <c r="AE392" s="12" t="str">
        <f t="shared" si="62"/>
        <v/>
      </c>
    </row>
    <row r="393" spans="2:31" x14ac:dyDescent="0.25">
      <c r="B393" s="9"/>
      <c r="C393" t="s">
        <v>31</v>
      </c>
      <c r="D393" s="9" t="str">
        <f>IF($A393="","",1*'Material Costs'!$D$3)</f>
        <v/>
      </c>
      <c r="E393" s="9" t="str">
        <f>IF($A393="","",1*'Material Costs'!$D$2)</f>
        <v/>
      </c>
      <c r="F393" s="9" t="str">
        <f>IF($A393="","",IF($C393="Bubble Mailer",2,1)*'Material Costs'!$D$6)</f>
        <v/>
      </c>
      <c r="G393" s="9" t="str">
        <f>IF($A393="","",1*'Material Costs'!$D$7)</f>
        <v/>
      </c>
      <c r="H393" s="9" t="str">
        <f>IF($A393="","",IF($C393="Bubble Mailer",1,0)*'Material Costs'!$D$5)</f>
        <v/>
      </c>
      <c r="I393" s="9" t="str">
        <f>IF($A393="","",IF($C393="ESE (Ding Defend)",1,0)*'Material Costs'!$D$4)</f>
        <v/>
      </c>
      <c r="J393" s="9"/>
      <c r="K393" s="9" t="str">
        <f t="shared" si="54"/>
        <v/>
      </c>
      <c r="L393" s="9"/>
      <c r="M393" s="9"/>
      <c r="N393" s="9"/>
      <c r="O393" s="9" t="str">
        <f t="shared" si="55"/>
        <v/>
      </c>
      <c r="P393" s="9"/>
      <c r="Q393" s="9" t="str">
        <f>IF($A393="","",IF($O393="", "", ROUND($O393*Settings!$B$2+Settings!$B$3,2)))</f>
        <v/>
      </c>
      <c r="R393" s="9" t="str">
        <f>IF($A393="","",IF($L393="", "", Settings!$B$4))</f>
        <v/>
      </c>
      <c r="S393" s="9" t="str">
        <f t="shared" si="56"/>
        <v/>
      </c>
      <c r="T393" s="9" t="str">
        <f t="shared" si="57"/>
        <v/>
      </c>
      <c r="U393" s="9" t="str">
        <f>IF($A393="","",IF($K393="", "", ROUND((($K393 + Settings!$B$3 + $R393) - IF($M393="",0,$M393))/(1-Settings!$B$2),2)))</f>
        <v/>
      </c>
      <c r="V393" s="9" t="str">
        <f>IF($A393="","",$L393-($L393*Settings!$B$2)-$J393-($B393+SUM($D393:$I393)))</f>
        <v/>
      </c>
      <c r="W393" s="9" t="str">
        <f>IF($A393="","",(($B393+SUM($D393:$I393)+$J393+Settings!$B$3)/(1-Settings!$B$2))-$M393)</f>
        <v/>
      </c>
      <c r="X393" s="10" t="str">
        <f t="shared" si="58"/>
        <v/>
      </c>
      <c r="Y393" s="10" t="str">
        <f t="shared" si="59"/>
        <v/>
      </c>
      <c r="Z393" s="10" t="str">
        <f t="shared" si="60"/>
        <v/>
      </c>
      <c r="AA393" s="10" t="str">
        <f t="shared" si="61"/>
        <v/>
      </c>
      <c r="AC393" s="11"/>
      <c r="AD393" s="11"/>
      <c r="AE393" s="12" t="str">
        <f t="shared" si="62"/>
        <v/>
      </c>
    </row>
    <row r="394" spans="2:31" x14ac:dyDescent="0.25">
      <c r="B394" s="9"/>
      <c r="C394" t="s">
        <v>31</v>
      </c>
      <c r="D394" s="9" t="str">
        <f>IF($A394="","",1*'Material Costs'!$D$3)</f>
        <v/>
      </c>
      <c r="E394" s="9" t="str">
        <f>IF($A394="","",1*'Material Costs'!$D$2)</f>
        <v/>
      </c>
      <c r="F394" s="9" t="str">
        <f>IF($A394="","",IF($C394="Bubble Mailer",2,1)*'Material Costs'!$D$6)</f>
        <v/>
      </c>
      <c r="G394" s="9" t="str">
        <f>IF($A394="","",1*'Material Costs'!$D$7)</f>
        <v/>
      </c>
      <c r="H394" s="9" t="str">
        <f>IF($A394="","",IF($C394="Bubble Mailer",1,0)*'Material Costs'!$D$5)</f>
        <v/>
      </c>
      <c r="I394" s="9" t="str">
        <f>IF($A394="","",IF($C394="ESE (Ding Defend)",1,0)*'Material Costs'!$D$4)</f>
        <v/>
      </c>
      <c r="J394" s="9"/>
      <c r="K394" s="9" t="str">
        <f t="shared" si="54"/>
        <v/>
      </c>
      <c r="L394" s="9"/>
      <c r="M394" s="9"/>
      <c r="N394" s="9"/>
      <c r="O394" s="9" t="str">
        <f t="shared" si="55"/>
        <v/>
      </c>
      <c r="P394" s="9"/>
      <c r="Q394" s="9" t="str">
        <f>IF($A394="","",IF($O394="", "", ROUND($O394*Settings!$B$2+Settings!$B$3,2)))</f>
        <v/>
      </c>
      <c r="R394" s="9" t="str">
        <f>IF($A394="","",IF($L394="", "", Settings!$B$4))</f>
        <v/>
      </c>
      <c r="S394" s="9" t="str">
        <f t="shared" si="56"/>
        <v/>
      </c>
      <c r="T394" s="9" t="str">
        <f t="shared" si="57"/>
        <v/>
      </c>
      <c r="U394" s="9" t="str">
        <f>IF($A394="","",IF($K394="", "", ROUND((($K394 + Settings!$B$3 + $R394) - IF($M394="",0,$M394))/(1-Settings!$B$2),2)))</f>
        <v/>
      </c>
      <c r="V394" s="9" t="str">
        <f>IF($A394="","",$L394-($L394*Settings!$B$2)-$J394-($B394+SUM($D394:$I394)))</f>
        <v/>
      </c>
      <c r="W394" s="9" t="str">
        <f>IF($A394="","",(($B394+SUM($D394:$I394)+$J394+Settings!$B$3)/(1-Settings!$B$2))-$M394)</f>
        <v/>
      </c>
      <c r="X394" s="10" t="str">
        <f t="shared" si="58"/>
        <v/>
      </c>
      <c r="Y394" s="10" t="str">
        <f t="shared" si="59"/>
        <v/>
      </c>
      <c r="Z394" s="10" t="str">
        <f t="shared" si="60"/>
        <v/>
      </c>
      <c r="AA394" s="10" t="str">
        <f t="shared" si="61"/>
        <v/>
      </c>
      <c r="AC394" s="11"/>
      <c r="AD394" s="11"/>
      <c r="AE394" s="12" t="str">
        <f t="shared" si="62"/>
        <v/>
      </c>
    </row>
    <row r="395" spans="2:31" x14ac:dyDescent="0.25">
      <c r="B395" s="9"/>
      <c r="C395" t="s">
        <v>31</v>
      </c>
      <c r="D395" s="9" t="str">
        <f>IF($A395="","",1*'Material Costs'!$D$3)</f>
        <v/>
      </c>
      <c r="E395" s="9" t="str">
        <f>IF($A395="","",1*'Material Costs'!$D$2)</f>
        <v/>
      </c>
      <c r="F395" s="9" t="str">
        <f>IF($A395="","",IF($C395="Bubble Mailer",2,1)*'Material Costs'!$D$6)</f>
        <v/>
      </c>
      <c r="G395" s="9" t="str">
        <f>IF($A395="","",1*'Material Costs'!$D$7)</f>
        <v/>
      </c>
      <c r="H395" s="9" t="str">
        <f>IF($A395="","",IF($C395="Bubble Mailer",1,0)*'Material Costs'!$D$5)</f>
        <v/>
      </c>
      <c r="I395" s="9" t="str">
        <f>IF($A395="","",IF($C395="ESE (Ding Defend)",1,0)*'Material Costs'!$D$4)</f>
        <v/>
      </c>
      <c r="J395" s="9"/>
      <c r="K395" s="9" t="str">
        <f t="shared" si="54"/>
        <v/>
      </c>
      <c r="L395" s="9"/>
      <c r="M395" s="9"/>
      <c r="N395" s="9"/>
      <c r="O395" s="9" t="str">
        <f t="shared" si="55"/>
        <v/>
      </c>
      <c r="P395" s="9"/>
      <c r="Q395" s="9" t="str">
        <f>IF($A395="","",IF($O395="", "", ROUND($O395*Settings!$B$2+Settings!$B$3,2)))</f>
        <v/>
      </c>
      <c r="R395" s="9" t="str">
        <f>IF($A395="","",IF($L395="", "", Settings!$B$4))</f>
        <v/>
      </c>
      <c r="S395" s="9" t="str">
        <f t="shared" si="56"/>
        <v/>
      </c>
      <c r="T395" s="9" t="str">
        <f t="shared" si="57"/>
        <v/>
      </c>
      <c r="U395" s="9" t="str">
        <f>IF($A395="","",IF($K395="", "", ROUND((($K395 + Settings!$B$3 + $R395) - IF($M395="",0,$M395))/(1-Settings!$B$2),2)))</f>
        <v/>
      </c>
      <c r="V395" s="9" t="str">
        <f>IF($A395="","",$L395-($L395*Settings!$B$2)-$J395-($B395+SUM($D395:$I395)))</f>
        <v/>
      </c>
      <c r="W395" s="9" t="str">
        <f>IF($A395="","",(($B395+SUM($D395:$I395)+$J395+Settings!$B$3)/(1-Settings!$B$2))-$M395)</f>
        <v/>
      </c>
      <c r="X395" s="10" t="str">
        <f t="shared" si="58"/>
        <v/>
      </c>
      <c r="Y395" s="10" t="str">
        <f t="shared" si="59"/>
        <v/>
      </c>
      <c r="Z395" s="10" t="str">
        <f t="shared" si="60"/>
        <v/>
      </c>
      <c r="AA395" s="10" t="str">
        <f t="shared" si="61"/>
        <v/>
      </c>
      <c r="AC395" s="11"/>
      <c r="AD395" s="11"/>
      <c r="AE395" s="12" t="str">
        <f t="shared" si="62"/>
        <v/>
      </c>
    </row>
    <row r="396" spans="2:31" x14ac:dyDescent="0.25">
      <c r="B396" s="9"/>
      <c r="C396" t="s">
        <v>31</v>
      </c>
      <c r="D396" s="9" t="str">
        <f>IF($A396="","",1*'Material Costs'!$D$3)</f>
        <v/>
      </c>
      <c r="E396" s="9" t="str">
        <f>IF($A396="","",1*'Material Costs'!$D$2)</f>
        <v/>
      </c>
      <c r="F396" s="9" t="str">
        <f>IF($A396="","",IF($C396="Bubble Mailer",2,1)*'Material Costs'!$D$6)</f>
        <v/>
      </c>
      <c r="G396" s="9" t="str">
        <f>IF($A396="","",1*'Material Costs'!$D$7)</f>
        <v/>
      </c>
      <c r="H396" s="9" t="str">
        <f>IF($A396="","",IF($C396="Bubble Mailer",1,0)*'Material Costs'!$D$5)</f>
        <v/>
      </c>
      <c r="I396" s="9" t="str">
        <f>IF($A396="","",IF($C396="ESE (Ding Defend)",1,0)*'Material Costs'!$D$4)</f>
        <v/>
      </c>
      <c r="J396" s="9"/>
      <c r="K396" s="9" t="str">
        <f t="shared" si="54"/>
        <v/>
      </c>
      <c r="L396" s="9"/>
      <c r="M396" s="9"/>
      <c r="N396" s="9"/>
      <c r="O396" s="9" t="str">
        <f t="shared" si="55"/>
        <v/>
      </c>
      <c r="P396" s="9"/>
      <c r="Q396" s="9" t="str">
        <f>IF($A396="","",IF($O396="", "", ROUND($O396*Settings!$B$2+Settings!$B$3,2)))</f>
        <v/>
      </c>
      <c r="R396" s="9" t="str">
        <f>IF($A396="","",IF($L396="", "", Settings!$B$4))</f>
        <v/>
      </c>
      <c r="S396" s="9" t="str">
        <f t="shared" si="56"/>
        <v/>
      </c>
      <c r="T396" s="9" t="str">
        <f t="shared" si="57"/>
        <v/>
      </c>
      <c r="U396" s="9" t="str">
        <f>IF($A396="","",IF($K396="", "", ROUND((($K396 + Settings!$B$3 + $R396) - IF($M396="",0,$M396))/(1-Settings!$B$2),2)))</f>
        <v/>
      </c>
      <c r="V396" s="9" t="str">
        <f>IF($A396="","",$L396-($L396*Settings!$B$2)-$J396-($B396+SUM($D396:$I396)))</f>
        <v/>
      </c>
      <c r="W396" s="9" t="str">
        <f>IF($A396="","",(($B396+SUM($D396:$I396)+$J396+Settings!$B$3)/(1-Settings!$B$2))-$M396)</f>
        <v/>
      </c>
      <c r="X396" s="10" t="str">
        <f t="shared" si="58"/>
        <v/>
      </c>
      <c r="Y396" s="10" t="str">
        <f t="shared" si="59"/>
        <v/>
      </c>
      <c r="Z396" s="10" t="str">
        <f t="shared" si="60"/>
        <v/>
      </c>
      <c r="AA396" s="10" t="str">
        <f t="shared" si="61"/>
        <v/>
      </c>
      <c r="AC396" s="11"/>
      <c r="AD396" s="11"/>
      <c r="AE396" s="12" t="str">
        <f t="shared" si="62"/>
        <v/>
      </c>
    </row>
    <row r="397" spans="2:31" x14ac:dyDescent="0.25">
      <c r="B397" s="9"/>
      <c r="C397" t="s">
        <v>31</v>
      </c>
      <c r="D397" s="9" t="str">
        <f>IF($A397="","",1*'Material Costs'!$D$3)</f>
        <v/>
      </c>
      <c r="E397" s="9" t="str">
        <f>IF($A397="","",1*'Material Costs'!$D$2)</f>
        <v/>
      </c>
      <c r="F397" s="9" t="str">
        <f>IF($A397="","",IF($C397="Bubble Mailer",2,1)*'Material Costs'!$D$6)</f>
        <v/>
      </c>
      <c r="G397" s="9" t="str">
        <f>IF($A397="","",1*'Material Costs'!$D$7)</f>
        <v/>
      </c>
      <c r="H397" s="9" t="str">
        <f>IF($A397="","",IF($C397="Bubble Mailer",1,0)*'Material Costs'!$D$5)</f>
        <v/>
      </c>
      <c r="I397" s="9" t="str">
        <f>IF($A397="","",IF($C397="ESE (Ding Defend)",1,0)*'Material Costs'!$D$4)</f>
        <v/>
      </c>
      <c r="J397" s="9"/>
      <c r="K397" s="9" t="str">
        <f t="shared" si="54"/>
        <v/>
      </c>
      <c r="L397" s="9"/>
      <c r="M397" s="9"/>
      <c r="N397" s="9"/>
      <c r="O397" s="9" t="str">
        <f t="shared" si="55"/>
        <v/>
      </c>
      <c r="P397" s="9"/>
      <c r="Q397" s="9" t="str">
        <f>IF($A397="","",IF($O397="", "", ROUND($O397*Settings!$B$2+Settings!$B$3,2)))</f>
        <v/>
      </c>
      <c r="R397" s="9" t="str">
        <f>IF($A397="","",IF($L397="", "", Settings!$B$4))</f>
        <v/>
      </c>
      <c r="S397" s="9" t="str">
        <f t="shared" si="56"/>
        <v/>
      </c>
      <c r="T397" s="9" t="str">
        <f t="shared" si="57"/>
        <v/>
      </c>
      <c r="U397" s="9" t="str">
        <f>IF($A397="","",IF($K397="", "", ROUND((($K397 + Settings!$B$3 + $R397) - IF($M397="",0,$M397))/(1-Settings!$B$2),2)))</f>
        <v/>
      </c>
      <c r="V397" s="9" t="str">
        <f>IF($A397="","",$L397-($L397*Settings!$B$2)-$J397-($B397+SUM($D397:$I397)))</f>
        <v/>
      </c>
      <c r="W397" s="9" t="str">
        <f>IF($A397="","",(($B397+SUM($D397:$I397)+$J397+Settings!$B$3)/(1-Settings!$B$2))-$M397)</f>
        <v/>
      </c>
      <c r="X397" s="10" t="str">
        <f t="shared" si="58"/>
        <v/>
      </c>
      <c r="Y397" s="10" t="str">
        <f t="shared" si="59"/>
        <v/>
      </c>
      <c r="Z397" s="10" t="str">
        <f t="shared" si="60"/>
        <v/>
      </c>
      <c r="AA397" s="10" t="str">
        <f t="shared" si="61"/>
        <v/>
      </c>
      <c r="AC397" s="11"/>
      <c r="AD397" s="11"/>
      <c r="AE397" s="12" t="str">
        <f t="shared" si="62"/>
        <v/>
      </c>
    </row>
    <row r="398" spans="2:31" x14ac:dyDescent="0.25">
      <c r="B398" s="9"/>
      <c r="C398" t="s">
        <v>31</v>
      </c>
      <c r="D398" s="9" t="str">
        <f>IF($A398="","",1*'Material Costs'!$D$3)</f>
        <v/>
      </c>
      <c r="E398" s="9" t="str">
        <f>IF($A398="","",1*'Material Costs'!$D$2)</f>
        <v/>
      </c>
      <c r="F398" s="9" t="str">
        <f>IF($A398="","",IF($C398="Bubble Mailer",2,1)*'Material Costs'!$D$6)</f>
        <v/>
      </c>
      <c r="G398" s="9" t="str">
        <f>IF($A398="","",1*'Material Costs'!$D$7)</f>
        <v/>
      </c>
      <c r="H398" s="9" t="str">
        <f>IF($A398="","",IF($C398="Bubble Mailer",1,0)*'Material Costs'!$D$5)</f>
        <v/>
      </c>
      <c r="I398" s="9" t="str">
        <f>IF($A398="","",IF($C398="ESE (Ding Defend)",1,0)*'Material Costs'!$D$4)</f>
        <v/>
      </c>
      <c r="J398" s="9"/>
      <c r="K398" s="9" t="str">
        <f t="shared" si="54"/>
        <v/>
      </c>
      <c r="L398" s="9"/>
      <c r="M398" s="9"/>
      <c r="N398" s="9"/>
      <c r="O398" s="9" t="str">
        <f t="shared" si="55"/>
        <v/>
      </c>
      <c r="P398" s="9"/>
      <c r="Q398" s="9" t="str">
        <f>IF($A398="","",IF($O398="", "", ROUND($O398*Settings!$B$2+Settings!$B$3,2)))</f>
        <v/>
      </c>
      <c r="R398" s="9" t="str">
        <f>IF($A398="","",IF($L398="", "", Settings!$B$4))</f>
        <v/>
      </c>
      <c r="S398" s="9" t="str">
        <f t="shared" si="56"/>
        <v/>
      </c>
      <c r="T398" s="9" t="str">
        <f t="shared" si="57"/>
        <v/>
      </c>
      <c r="U398" s="9" t="str">
        <f>IF($A398="","",IF($K398="", "", ROUND((($K398 + Settings!$B$3 + $R398) - IF($M398="",0,$M398))/(1-Settings!$B$2),2)))</f>
        <v/>
      </c>
      <c r="V398" s="9" t="str">
        <f>IF($A398="","",$L398-($L398*Settings!$B$2)-$J398-($B398+SUM($D398:$I398)))</f>
        <v/>
      </c>
      <c r="W398" s="9" t="str">
        <f>IF($A398="","",(($B398+SUM($D398:$I398)+$J398+Settings!$B$3)/(1-Settings!$B$2))-$M398)</f>
        <v/>
      </c>
      <c r="X398" s="10" t="str">
        <f t="shared" si="58"/>
        <v/>
      </c>
      <c r="Y398" s="10" t="str">
        <f t="shared" si="59"/>
        <v/>
      </c>
      <c r="Z398" s="10" t="str">
        <f t="shared" si="60"/>
        <v/>
      </c>
      <c r="AA398" s="10" t="str">
        <f t="shared" si="61"/>
        <v/>
      </c>
      <c r="AC398" s="11"/>
      <c r="AD398" s="11"/>
      <c r="AE398" s="12" t="str">
        <f t="shared" si="62"/>
        <v/>
      </c>
    </row>
    <row r="399" spans="2:31" x14ac:dyDescent="0.25">
      <c r="B399" s="9"/>
      <c r="C399" t="s">
        <v>31</v>
      </c>
      <c r="D399" s="9" t="str">
        <f>IF($A399="","",1*'Material Costs'!$D$3)</f>
        <v/>
      </c>
      <c r="E399" s="9" t="str">
        <f>IF($A399="","",1*'Material Costs'!$D$2)</f>
        <v/>
      </c>
      <c r="F399" s="9" t="str">
        <f>IF($A399="","",IF($C399="Bubble Mailer",2,1)*'Material Costs'!$D$6)</f>
        <v/>
      </c>
      <c r="G399" s="9" t="str">
        <f>IF($A399="","",1*'Material Costs'!$D$7)</f>
        <v/>
      </c>
      <c r="H399" s="9" t="str">
        <f>IF($A399="","",IF($C399="Bubble Mailer",1,0)*'Material Costs'!$D$5)</f>
        <v/>
      </c>
      <c r="I399" s="9" t="str">
        <f>IF($A399="","",IF($C399="ESE (Ding Defend)",1,0)*'Material Costs'!$D$4)</f>
        <v/>
      </c>
      <c r="J399" s="9"/>
      <c r="K399" s="9" t="str">
        <f t="shared" si="54"/>
        <v/>
      </c>
      <c r="L399" s="9"/>
      <c r="M399" s="9"/>
      <c r="N399" s="9"/>
      <c r="O399" s="9" t="str">
        <f t="shared" si="55"/>
        <v/>
      </c>
      <c r="P399" s="9"/>
      <c r="Q399" s="9" t="str">
        <f>IF($A399="","",IF($O399="", "", ROUND($O399*Settings!$B$2+Settings!$B$3,2)))</f>
        <v/>
      </c>
      <c r="R399" s="9" t="str">
        <f>IF($A399="","",IF($L399="", "", Settings!$B$4))</f>
        <v/>
      </c>
      <c r="S399" s="9" t="str">
        <f t="shared" si="56"/>
        <v/>
      </c>
      <c r="T399" s="9" t="str">
        <f t="shared" si="57"/>
        <v/>
      </c>
      <c r="U399" s="9" t="str">
        <f>IF($A399="","",IF($K399="", "", ROUND((($K399 + Settings!$B$3 + $R399) - IF($M399="",0,$M399))/(1-Settings!$B$2),2)))</f>
        <v/>
      </c>
      <c r="V399" s="9" t="str">
        <f>IF($A399="","",$L399-($L399*Settings!$B$2)-$J399-($B399+SUM($D399:$I399)))</f>
        <v/>
      </c>
      <c r="W399" s="9" t="str">
        <f>IF($A399="","",(($B399+SUM($D399:$I399)+$J399+Settings!$B$3)/(1-Settings!$B$2))-$M399)</f>
        <v/>
      </c>
      <c r="X399" s="10" t="str">
        <f t="shared" si="58"/>
        <v/>
      </c>
      <c r="Y399" s="10" t="str">
        <f t="shared" si="59"/>
        <v/>
      </c>
      <c r="Z399" s="10" t="str">
        <f t="shared" si="60"/>
        <v/>
      </c>
      <c r="AA399" s="10" t="str">
        <f t="shared" si="61"/>
        <v/>
      </c>
      <c r="AC399" s="11"/>
      <c r="AD399" s="11"/>
      <c r="AE399" s="12" t="str">
        <f t="shared" si="62"/>
        <v/>
      </c>
    </row>
    <row r="400" spans="2:31" x14ac:dyDescent="0.25">
      <c r="B400" s="9"/>
      <c r="C400" t="s">
        <v>31</v>
      </c>
      <c r="D400" s="9" t="str">
        <f>IF($A400="","",1*'Material Costs'!$D$3)</f>
        <v/>
      </c>
      <c r="E400" s="9" t="str">
        <f>IF($A400="","",1*'Material Costs'!$D$2)</f>
        <v/>
      </c>
      <c r="F400" s="9" t="str">
        <f>IF($A400="","",IF($C400="Bubble Mailer",2,1)*'Material Costs'!$D$6)</f>
        <v/>
      </c>
      <c r="G400" s="9" t="str">
        <f>IF($A400="","",1*'Material Costs'!$D$7)</f>
        <v/>
      </c>
      <c r="H400" s="9" t="str">
        <f>IF($A400="","",IF($C400="Bubble Mailer",1,0)*'Material Costs'!$D$5)</f>
        <v/>
      </c>
      <c r="I400" s="9" t="str">
        <f>IF($A400="","",IF($C400="ESE (Ding Defend)",1,0)*'Material Costs'!$D$4)</f>
        <v/>
      </c>
      <c r="J400" s="9"/>
      <c r="K400" s="9" t="str">
        <f t="shared" si="54"/>
        <v/>
      </c>
      <c r="L400" s="9"/>
      <c r="M400" s="9"/>
      <c r="N400" s="9"/>
      <c r="O400" s="9" t="str">
        <f t="shared" si="55"/>
        <v/>
      </c>
      <c r="P400" s="9"/>
      <c r="Q400" s="9" t="str">
        <f>IF($A400="","",IF($O400="", "", ROUND($O400*Settings!$B$2+Settings!$B$3,2)))</f>
        <v/>
      </c>
      <c r="R400" s="9" t="str">
        <f>IF($A400="","",IF($L400="", "", Settings!$B$4))</f>
        <v/>
      </c>
      <c r="S400" s="9" t="str">
        <f t="shared" si="56"/>
        <v/>
      </c>
      <c r="T400" s="9" t="str">
        <f t="shared" si="57"/>
        <v/>
      </c>
      <c r="U400" s="9" t="str">
        <f>IF($A400="","",IF($K400="", "", ROUND((($K400 + Settings!$B$3 + $R400) - IF($M400="",0,$M400))/(1-Settings!$B$2),2)))</f>
        <v/>
      </c>
      <c r="V400" s="9" t="str">
        <f>IF($A400="","",$L400-($L400*Settings!$B$2)-$J400-($B400+SUM($D400:$I400)))</f>
        <v/>
      </c>
      <c r="W400" s="9" t="str">
        <f>IF($A400="","",(($B400+SUM($D400:$I400)+$J400+Settings!$B$3)/(1-Settings!$B$2))-$M400)</f>
        <v/>
      </c>
      <c r="X400" s="10" t="str">
        <f t="shared" si="58"/>
        <v/>
      </c>
      <c r="Y400" s="10" t="str">
        <f t="shared" si="59"/>
        <v/>
      </c>
      <c r="Z400" s="10" t="str">
        <f t="shared" si="60"/>
        <v/>
      </c>
      <c r="AA400" s="10" t="str">
        <f t="shared" si="61"/>
        <v/>
      </c>
      <c r="AC400" s="11"/>
      <c r="AD400" s="11"/>
      <c r="AE400" s="12" t="str">
        <f t="shared" si="62"/>
        <v/>
      </c>
    </row>
    <row r="401" spans="2:31" x14ac:dyDescent="0.25">
      <c r="B401" s="9"/>
      <c r="C401" t="s">
        <v>31</v>
      </c>
      <c r="D401" s="9" t="str">
        <f>IF($A401="","",1*'Material Costs'!$D$3)</f>
        <v/>
      </c>
      <c r="E401" s="9" t="str">
        <f>IF($A401="","",1*'Material Costs'!$D$2)</f>
        <v/>
      </c>
      <c r="F401" s="9" t="str">
        <f>IF($A401="","",IF($C401="Bubble Mailer",2,1)*'Material Costs'!$D$6)</f>
        <v/>
      </c>
      <c r="G401" s="9" t="str">
        <f>IF($A401="","",1*'Material Costs'!$D$7)</f>
        <v/>
      </c>
      <c r="H401" s="9" t="str">
        <f>IF($A401="","",IF($C401="Bubble Mailer",1,0)*'Material Costs'!$D$5)</f>
        <v/>
      </c>
      <c r="I401" s="9" t="str">
        <f>IF($A401="","",IF($C401="ESE (Ding Defend)",1,0)*'Material Costs'!$D$4)</f>
        <v/>
      </c>
      <c r="J401" s="9"/>
      <c r="K401" s="9" t="str">
        <f t="shared" si="54"/>
        <v/>
      </c>
      <c r="L401" s="9"/>
      <c r="M401" s="9"/>
      <c r="N401" s="9"/>
      <c r="O401" s="9" t="str">
        <f t="shared" si="55"/>
        <v/>
      </c>
      <c r="P401" s="9"/>
      <c r="Q401" s="9" t="str">
        <f>IF($A401="","",IF($O401="", "", ROUND($O401*Settings!$B$2+Settings!$B$3,2)))</f>
        <v/>
      </c>
      <c r="R401" s="9" t="str">
        <f>IF($A401="","",IF($L401="", "", Settings!$B$4))</f>
        <v/>
      </c>
      <c r="S401" s="9" t="str">
        <f t="shared" si="56"/>
        <v/>
      </c>
      <c r="T401" s="9" t="str">
        <f t="shared" si="57"/>
        <v/>
      </c>
      <c r="U401" s="9" t="str">
        <f>IF($A401="","",IF($K401="", "", ROUND((($K401 + Settings!$B$3 + $R401) - IF($M401="",0,$M401))/(1-Settings!$B$2),2)))</f>
        <v/>
      </c>
      <c r="V401" s="9" t="str">
        <f>IF($A401="","",$L401-($L401*Settings!$B$2)-$J401-($B401+SUM($D401:$I401)))</f>
        <v/>
      </c>
      <c r="W401" s="9" t="str">
        <f>IF($A401="","",(($B401+SUM($D401:$I401)+$J401+Settings!$B$3)/(1-Settings!$B$2))-$M401)</f>
        <v/>
      </c>
      <c r="X401" s="10" t="str">
        <f t="shared" si="58"/>
        <v/>
      </c>
      <c r="Y401" s="10" t="str">
        <f t="shared" si="59"/>
        <v/>
      </c>
      <c r="Z401" s="10" t="str">
        <f t="shared" si="60"/>
        <v/>
      </c>
      <c r="AA401" s="10" t="str">
        <f t="shared" si="61"/>
        <v/>
      </c>
      <c r="AC401" s="11"/>
      <c r="AD401" s="11"/>
      <c r="AE401" s="12" t="str">
        <f t="shared" si="62"/>
        <v/>
      </c>
    </row>
    <row r="402" spans="2:31" x14ac:dyDescent="0.25">
      <c r="B402" s="9"/>
      <c r="C402" t="s">
        <v>31</v>
      </c>
      <c r="D402" s="9" t="str">
        <f>IF($A402="","",1*'Material Costs'!$D$3)</f>
        <v/>
      </c>
      <c r="E402" s="9" t="str">
        <f>IF($A402="","",1*'Material Costs'!$D$2)</f>
        <v/>
      </c>
      <c r="F402" s="9" t="str">
        <f>IF($A402="","",IF($C402="Bubble Mailer",2,1)*'Material Costs'!$D$6)</f>
        <v/>
      </c>
      <c r="G402" s="9" t="str">
        <f>IF($A402="","",1*'Material Costs'!$D$7)</f>
        <v/>
      </c>
      <c r="H402" s="9" t="str">
        <f>IF($A402="","",IF($C402="Bubble Mailer",1,0)*'Material Costs'!$D$5)</f>
        <v/>
      </c>
      <c r="I402" s="9" t="str">
        <f>IF($A402="","",IF($C402="ESE (Ding Defend)",1,0)*'Material Costs'!$D$4)</f>
        <v/>
      </c>
      <c r="J402" s="9"/>
      <c r="K402" s="9" t="str">
        <f t="shared" si="54"/>
        <v/>
      </c>
      <c r="L402" s="9"/>
      <c r="M402" s="9"/>
      <c r="N402" s="9"/>
      <c r="O402" s="9" t="str">
        <f t="shared" si="55"/>
        <v/>
      </c>
      <c r="P402" s="9"/>
      <c r="Q402" s="9" t="str">
        <f>IF($A402="","",IF($O402="", "", ROUND($O402*Settings!$B$2+Settings!$B$3,2)))</f>
        <v/>
      </c>
      <c r="R402" s="9" t="str">
        <f>IF($A402="","",IF($L402="", "", Settings!$B$4))</f>
        <v/>
      </c>
      <c r="S402" s="9" t="str">
        <f t="shared" si="56"/>
        <v/>
      </c>
      <c r="T402" s="9" t="str">
        <f t="shared" si="57"/>
        <v/>
      </c>
      <c r="U402" s="9" t="str">
        <f>IF($A402="","",IF($K402="", "", ROUND((($K402 + Settings!$B$3 + $R402) - IF($M402="",0,$M402))/(1-Settings!$B$2),2)))</f>
        <v/>
      </c>
      <c r="V402" s="9" t="str">
        <f>IF($A402="","",$L402-($L402*Settings!$B$2)-$J402-($B402+SUM($D402:$I402)))</f>
        <v/>
      </c>
      <c r="W402" s="9" t="str">
        <f>IF($A402="","",(($B402+SUM($D402:$I402)+$J402+Settings!$B$3)/(1-Settings!$B$2))-$M402)</f>
        <v/>
      </c>
      <c r="X402" s="10" t="str">
        <f t="shared" si="58"/>
        <v/>
      </c>
      <c r="Y402" s="10" t="str">
        <f t="shared" si="59"/>
        <v/>
      </c>
      <c r="Z402" s="10" t="str">
        <f t="shared" si="60"/>
        <v/>
      </c>
      <c r="AA402" s="10" t="str">
        <f t="shared" si="61"/>
        <v/>
      </c>
      <c r="AC402" s="11"/>
      <c r="AD402" s="11"/>
      <c r="AE402" s="12" t="str">
        <f t="shared" si="62"/>
        <v/>
      </c>
    </row>
    <row r="403" spans="2:31" x14ac:dyDescent="0.25">
      <c r="B403" s="9"/>
      <c r="C403" t="s">
        <v>31</v>
      </c>
      <c r="D403" s="9" t="str">
        <f>IF($A403="","",1*'Material Costs'!$D$3)</f>
        <v/>
      </c>
      <c r="E403" s="9" t="str">
        <f>IF($A403="","",1*'Material Costs'!$D$2)</f>
        <v/>
      </c>
      <c r="F403" s="9" t="str">
        <f>IF($A403="","",IF($C403="Bubble Mailer",2,1)*'Material Costs'!$D$6)</f>
        <v/>
      </c>
      <c r="G403" s="9" t="str">
        <f>IF($A403="","",1*'Material Costs'!$D$7)</f>
        <v/>
      </c>
      <c r="H403" s="9" t="str">
        <f>IF($A403="","",IF($C403="Bubble Mailer",1,0)*'Material Costs'!$D$5)</f>
        <v/>
      </c>
      <c r="I403" s="9" t="str">
        <f>IF($A403="","",IF($C403="ESE (Ding Defend)",1,0)*'Material Costs'!$D$4)</f>
        <v/>
      </c>
      <c r="J403" s="9"/>
      <c r="K403" s="9" t="str">
        <f t="shared" si="54"/>
        <v/>
      </c>
      <c r="L403" s="9"/>
      <c r="M403" s="9"/>
      <c r="N403" s="9"/>
      <c r="O403" s="9" t="str">
        <f t="shared" si="55"/>
        <v/>
      </c>
      <c r="P403" s="9"/>
      <c r="Q403" s="9" t="str">
        <f>IF($A403="","",IF($O403="", "", ROUND($O403*Settings!$B$2+Settings!$B$3,2)))</f>
        <v/>
      </c>
      <c r="R403" s="9" t="str">
        <f>IF($A403="","",IF($L403="", "", Settings!$B$4))</f>
        <v/>
      </c>
      <c r="S403" s="9" t="str">
        <f t="shared" si="56"/>
        <v/>
      </c>
      <c r="T403" s="9" t="str">
        <f t="shared" si="57"/>
        <v/>
      </c>
      <c r="U403" s="9" t="str">
        <f>IF($A403="","",IF($K403="", "", ROUND((($K403 + Settings!$B$3 + $R403) - IF($M403="",0,$M403))/(1-Settings!$B$2),2)))</f>
        <v/>
      </c>
      <c r="V403" s="9" t="str">
        <f>IF($A403="","",$L403-($L403*Settings!$B$2)-$J403-($B403+SUM($D403:$I403)))</f>
        <v/>
      </c>
      <c r="W403" s="9" t="str">
        <f>IF($A403="","",(($B403+SUM($D403:$I403)+$J403+Settings!$B$3)/(1-Settings!$B$2))-$M403)</f>
        <v/>
      </c>
      <c r="X403" s="10" t="str">
        <f t="shared" si="58"/>
        <v/>
      </c>
      <c r="Y403" s="10" t="str">
        <f t="shared" si="59"/>
        <v/>
      </c>
      <c r="Z403" s="10" t="str">
        <f t="shared" si="60"/>
        <v/>
      </c>
      <c r="AA403" s="10" t="str">
        <f t="shared" si="61"/>
        <v/>
      </c>
      <c r="AC403" s="11"/>
      <c r="AD403" s="11"/>
      <c r="AE403" s="12" t="str">
        <f t="shared" si="62"/>
        <v/>
      </c>
    </row>
    <row r="404" spans="2:31" x14ac:dyDescent="0.25">
      <c r="B404" s="9"/>
      <c r="C404" t="s">
        <v>31</v>
      </c>
      <c r="D404" s="9" t="str">
        <f>IF($A404="","",1*'Material Costs'!$D$3)</f>
        <v/>
      </c>
      <c r="E404" s="9" t="str">
        <f>IF($A404="","",1*'Material Costs'!$D$2)</f>
        <v/>
      </c>
      <c r="F404" s="9" t="str">
        <f>IF($A404="","",IF($C404="Bubble Mailer",2,1)*'Material Costs'!$D$6)</f>
        <v/>
      </c>
      <c r="G404" s="9" t="str">
        <f>IF($A404="","",1*'Material Costs'!$D$7)</f>
        <v/>
      </c>
      <c r="H404" s="9" t="str">
        <f>IF($A404="","",IF($C404="Bubble Mailer",1,0)*'Material Costs'!$D$5)</f>
        <v/>
      </c>
      <c r="I404" s="9" t="str">
        <f>IF($A404="","",IF($C404="ESE (Ding Defend)",1,0)*'Material Costs'!$D$4)</f>
        <v/>
      </c>
      <c r="J404" s="9"/>
      <c r="K404" s="9" t="str">
        <f t="shared" si="54"/>
        <v/>
      </c>
      <c r="L404" s="9"/>
      <c r="M404" s="9"/>
      <c r="N404" s="9"/>
      <c r="O404" s="9" t="str">
        <f t="shared" si="55"/>
        <v/>
      </c>
      <c r="P404" s="9"/>
      <c r="Q404" s="9" t="str">
        <f>IF($A404="","",IF($O404="", "", ROUND($O404*Settings!$B$2+Settings!$B$3,2)))</f>
        <v/>
      </c>
      <c r="R404" s="9" t="str">
        <f>IF($A404="","",IF($L404="", "", Settings!$B$4))</f>
        <v/>
      </c>
      <c r="S404" s="9" t="str">
        <f t="shared" si="56"/>
        <v/>
      </c>
      <c r="T404" s="9" t="str">
        <f t="shared" si="57"/>
        <v/>
      </c>
      <c r="U404" s="9" t="str">
        <f>IF($A404="","",IF($K404="", "", ROUND((($K404 + Settings!$B$3 + $R404) - IF($M404="",0,$M404))/(1-Settings!$B$2),2)))</f>
        <v/>
      </c>
      <c r="V404" s="9" t="str">
        <f>IF($A404="","",$L404-($L404*Settings!$B$2)-$J404-($B404+SUM($D404:$I404)))</f>
        <v/>
      </c>
      <c r="W404" s="9" t="str">
        <f>IF($A404="","",(($B404+SUM($D404:$I404)+$J404+Settings!$B$3)/(1-Settings!$B$2))-$M404)</f>
        <v/>
      </c>
      <c r="X404" s="10" t="str">
        <f t="shared" si="58"/>
        <v/>
      </c>
      <c r="Y404" s="10" t="str">
        <f t="shared" si="59"/>
        <v/>
      </c>
      <c r="Z404" s="10" t="str">
        <f t="shared" si="60"/>
        <v/>
      </c>
      <c r="AA404" s="10" t="str">
        <f t="shared" si="61"/>
        <v/>
      </c>
      <c r="AC404" s="11"/>
      <c r="AD404" s="11"/>
      <c r="AE404" s="12" t="str">
        <f t="shared" si="62"/>
        <v/>
      </c>
    </row>
    <row r="405" spans="2:31" x14ac:dyDescent="0.25">
      <c r="B405" s="9"/>
      <c r="C405" t="s">
        <v>31</v>
      </c>
      <c r="D405" s="9" t="str">
        <f>IF($A405="","",1*'Material Costs'!$D$3)</f>
        <v/>
      </c>
      <c r="E405" s="9" t="str">
        <f>IF($A405="","",1*'Material Costs'!$D$2)</f>
        <v/>
      </c>
      <c r="F405" s="9" t="str">
        <f>IF($A405="","",IF($C405="Bubble Mailer",2,1)*'Material Costs'!$D$6)</f>
        <v/>
      </c>
      <c r="G405" s="9" t="str">
        <f>IF($A405="","",1*'Material Costs'!$D$7)</f>
        <v/>
      </c>
      <c r="H405" s="9" t="str">
        <f>IF($A405="","",IF($C405="Bubble Mailer",1,0)*'Material Costs'!$D$5)</f>
        <v/>
      </c>
      <c r="I405" s="9" t="str">
        <f>IF($A405="","",IF($C405="ESE (Ding Defend)",1,0)*'Material Costs'!$D$4)</f>
        <v/>
      </c>
      <c r="J405" s="9"/>
      <c r="K405" s="9" t="str">
        <f t="shared" si="54"/>
        <v/>
      </c>
      <c r="L405" s="9"/>
      <c r="M405" s="9"/>
      <c r="N405" s="9"/>
      <c r="O405" s="9" t="str">
        <f t="shared" si="55"/>
        <v/>
      </c>
      <c r="P405" s="9"/>
      <c r="Q405" s="9" t="str">
        <f>IF($A405="","",IF($O405="", "", ROUND($O405*Settings!$B$2+Settings!$B$3,2)))</f>
        <v/>
      </c>
      <c r="R405" s="9" t="str">
        <f>IF($A405="","",IF($L405="", "", Settings!$B$4))</f>
        <v/>
      </c>
      <c r="S405" s="9" t="str">
        <f t="shared" si="56"/>
        <v/>
      </c>
      <c r="T405" s="9" t="str">
        <f t="shared" si="57"/>
        <v/>
      </c>
      <c r="U405" s="9" t="str">
        <f>IF($A405="","",IF($K405="", "", ROUND((($K405 + Settings!$B$3 + $R405) - IF($M405="",0,$M405))/(1-Settings!$B$2),2)))</f>
        <v/>
      </c>
      <c r="V405" s="9" t="str">
        <f>IF($A405="","",$L405-($L405*Settings!$B$2)-$J405-($B405+SUM($D405:$I405)))</f>
        <v/>
      </c>
      <c r="W405" s="9" t="str">
        <f>IF($A405="","",(($B405+SUM($D405:$I405)+$J405+Settings!$B$3)/(1-Settings!$B$2))-$M405)</f>
        <v/>
      </c>
      <c r="X405" s="10" t="str">
        <f t="shared" si="58"/>
        <v/>
      </c>
      <c r="Y405" s="10" t="str">
        <f t="shared" si="59"/>
        <v/>
      </c>
      <c r="Z405" s="10" t="str">
        <f t="shared" si="60"/>
        <v/>
      </c>
      <c r="AA405" s="10" t="str">
        <f t="shared" si="61"/>
        <v/>
      </c>
      <c r="AC405" s="11"/>
      <c r="AD405" s="11"/>
      <c r="AE405" s="12" t="str">
        <f t="shared" si="62"/>
        <v/>
      </c>
    </row>
    <row r="406" spans="2:31" x14ac:dyDescent="0.25">
      <c r="B406" s="9"/>
      <c r="C406" t="s">
        <v>31</v>
      </c>
      <c r="D406" s="9" t="str">
        <f>IF($A406="","",1*'Material Costs'!$D$3)</f>
        <v/>
      </c>
      <c r="E406" s="9" t="str">
        <f>IF($A406="","",1*'Material Costs'!$D$2)</f>
        <v/>
      </c>
      <c r="F406" s="9" t="str">
        <f>IF($A406="","",IF($C406="Bubble Mailer",2,1)*'Material Costs'!$D$6)</f>
        <v/>
      </c>
      <c r="G406" s="9" t="str">
        <f>IF($A406="","",1*'Material Costs'!$D$7)</f>
        <v/>
      </c>
      <c r="H406" s="9" t="str">
        <f>IF($A406="","",IF($C406="Bubble Mailer",1,0)*'Material Costs'!$D$5)</f>
        <v/>
      </c>
      <c r="I406" s="9" t="str">
        <f>IF($A406="","",IF($C406="ESE (Ding Defend)",1,0)*'Material Costs'!$D$4)</f>
        <v/>
      </c>
      <c r="J406" s="9"/>
      <c r="K406" s="9" t="str">
        <f t="shared" si="54"/>
        <v/>
      </c>
      <c r="L406" s="9"/>
      <c r="M406" s="9"/>
      <c r="N406" s="9"/>
      <c r="O406" s="9" t="str">
        <f t="shared" si="55"/>
        <v/>
      </c>
      <c r="P406" s="9"/>
      <c r="Q406" s="9" t="str">
        <f>IF($A406="","",IF($O406="", "", ROUND($O406*Settings!$B$2+Settings!$B$3,2)))</f>
        <v/>
      </c>
      <c r="R406" s="9" t="str">
        <f>IF($A406="","",IF($L406="", "", Settings!$B$4))</f>
        <v/>
      </c>
      <c r="S406" s="9" t="str">
        <f t="shared" si="56"/>
        <v/>
      </c>
      <c r="T406" s="9" t="str">
        <f t="shared" si="57"/>
        <v/>
      </c>
      <c r="U406" s="9" t="str">
        <f>IF($A406="","",IF($K406="", "", ROUND((($K406 + Settings!$B$3 + $R406) - IF($M406="",0,$M406))/(1-Settings!$B$2),2)))</f>
        <v/>
      </c>
      <c r="V406" s="9" t="str">
        <f>IF($A406="","",$L406-($L406*Settings!$B$2)-$J406-($B406+SUM($D406:$I406)))</f>
        <v/>
      </c>
      <c r="W406" s="9" t="str">
        <f>IF($A406="","",(($B406+SUM($D406:$I406)+$J406+Settings!$B$3)/(1-Settings!$B$2))-$M406)</f>
        <v/>
      </c>
      <c r="X406" s="10" t="str">
        <f t="shared" si="58"/>
        <v/>
      </c>
      <c r="Y406" s="10" t="str">
        <f t="shared" si="59"/>
        <v/>
      </c>
      <c r="Z406" s="10" t="str">
        <f t="shared" si="60"/>
        <v/>
      </c>
      <c r="AA406" s="10" t="str">
        <f t="shared" si="61"/>
        <v/>
      </c>
      <c r="AC406" s="11"/>
      <c r="AD406" s="11"/>
      <c r="AE406" s="12" t="str">
        <f t="shared" si="62"/>
        <v/>
      </c>
    </row>
    <row r="407" spans="2:31" x14ac:dyDescent="0.25">
      <c r="B407" s="9"/>
      <c r="C407" t="s">
        <v>31</v>
      </c>
      <c r="D407" s="9" t="str">
        <f>IF($A407="","",1*'Material Costs'!$D$3)</f>
        <v/>
      </c>
      <c r="E407" s="9" t="str">
        <f>IF($A407="","",1*'Material Costs'!$D$2)</f>
        <v/>
      </c>
      <c r="F407" s="9" t="str">
        <f>IF($A407="","",IF($C407="Bubble Mailer",2,1)*'Material Costs'!$D$6)</f>
        <v/>
      </c>
      <c r="G407" s="9" t="str">
        <f>IF($A407="","",1*'Material Costs'!$D$7)</f>
        <v/>
      </c>
      <c r="H407" s="9" t="str">
        <f>IF($A407="","",IF($C407="Bubble Mailer",1,0)*'Material Costs'!$D$5)</f>
        <v/>
      </c>
      <c r="I407" s="9" t="str">
        <f>IF($A407="","",IF($C407="ESE (Ding Defend)",1,0)*'Material Costs'!$D$4)</f>
        <v/>
      </c>
      <c r="J407" s="9"/>
      <c r="K407" s="9" t="str">
        <f t="shared" si="54"/>
        <v/>
      </c>
      <c r="L407" s="9"/>
      <c r="M407" s="9"/>
      <c r="N407" s="9"/>
      <c r="O407" s="9" t="str">
        <f t="shared" si="55"/>
        <v/>
      </c>
      <c r="P407" s="9"/>
      <c r="Q407" s="9" t="str">
        <f>IF($A407="","",IF($O407="", "", ROUND($O407*Settings!$B$2+Settings!$B$3,2)))</f>
        <v/>
      </c>
      <c r="R407" s="9" t="str">
        <f>IF($A407="","",IF($L407="", "", Settings!$B$4))</f>
        <v/>
      </c>
      <c r="S407" s="9" t="str">
        <f t="shared" si="56"/>
        <v/>
      </c>
      <c r="T407" s="9" t="str">
        <f t="shared" si="57"/>
        <v/>
      </c>
      <c r="U407" s="9" t="str">
        <f>IF($A407="","",IF($K407="", "", ROUND((($K407 + Settings!$B$3 + $R407) - IF($M407="",0,$M407))/(1-Settings!$B$2),2)))</f>
        <v/>
      </c>
      <c r="V407" s="9" t="str">
        <f>IF($A407="","",$L407-($L407*Settings!$B$2)-$J407-($B407+SUM($D407:$I407)))</f>
        <v/>
      </c>
      <c r="W407" s="9" t="str">
        <f>IF($A407="","",(($B407+SUM($D407:$I407)+$J407+Settings!$B$3)/(1-Settings!$B$2))-$M407)</f>
        <v/>
      </c>
      <c r="X407" s="10" t="str">
        <f t="shared" si="58"/>
        <v/>
      </c>
      <c r="Y407" s="10" t="str">
        <f t="shared" si="59"/>
        <v/>
      </c>
      <c r="Z407" s="10" t="str">
        <f t="shared" si="60"/>
        <v/>
      </c>
      <c r="AA407" s="10" t="str">
        <f t="shared" si="61"/>
        <v/>
      </c>
      <c r="AC407" s="11"/>
      <c r="AD407" s="11"/>
      <c r="AE407" s="12" t="str">
        <f t="shared" si="62"/>
        <v/>
      </c>
    </row>
    <row r="408" spans="2:31" x14ac:dyDescent="0.25">
      <c r="B408" s="9"/>
      <c r="C408" t="s">
        <v>31</v>
      </c>
      <c r="D408" s="9" t="str">
        <f>IF($A408="","",1*'Material Costs'!$D$3)</f>
        <v/>
      </c>
      <c r="E408" s="9" t="str">
        <f>IF($A408="","",1*'Material Costs'!$D$2)</f>
        <v/>
      </c>
      <c r="F408" s="9" t="str">
        <f>IF($A408="","",IF($C408="Bubble Mailer",2,1)*'Material Costs'!$D$6)</f>
        <v/>
      </c>
      <c r="G408" s="9" t="str">
        <f>IF($A408="","",1*'Material Costs'!$D$7)</f>
        <v/>
      </c>
      <c r="H408" s="9" t="str">
        <f>IF($A408="","",IF($C408="Bubble Mailer",1,0)*'Material Costs'!$D$5)</f>
        <v/>
      </c>
      <c r="I408" s="9" t="str">
        <f>IF($A408="","",IF($C408="ESE (Ding Defend)",1,0)*'Material Costs'!$D$4)</f>
        <v/>
      </c>
      <c r="J408" s="9"/>
      <c r="K408" s="9" t="str">
        <f t="shared" si="54"/>
        <v/>
      </c>
      <c r="L408" s="9"/>
      <c r="M408" s="9"/>
      <c r="N408" s="9"/>
      <c r="O408" s="9" t="str">
        <f t="shared" si="55"/>
        <v/>
      </c>
      <c r="P408" s="9"/>
      <c r="Q408" s="9" t="str">
        <f>IF($A408="","",IF($O408="", "", ROUND($O408*Settings!$B$2+Settings!$B$3,2)))</f>
        <v/>
      </c>
      <c r="R408" s="9" t="str">
        <f>IF($A408="","",IF($L408="", "", Settings!$B$4))</f>
        <v/>
      </c>
      <c r="S408" s="9" t="str">
        <f t="shared" si="56"/>
        <v/>
      </c>
      <c r="T408" s="9" t="str">
        <f t="shared" si="57"/>
        <v/>
      </c>
      <c r="U408" s="9" t="str">
        <f>IF($A408="","",IF($K408="", "", ROUND((($K408 + Settings!$B$3 + $R408) - IF($M408="",0,$M408))/(1-Settings!$B$2),2)))</f>
        <v/>
      </c>
      <c r="V408" s="9" t="str">
        <f>IF($A408="","",$L408-($L408*Settings!$B$2)-$J408-($B408+SUM($D408:$I408)))</f>
        <v/>
      </c>
      <c r="W408" s="9" t="str">
        <f>IF($A408="","",(($B408+SUM($D408:$I408)+$J408+Settings!$B$3)/(1-Settings!$B$2))-$M408)</f>
        <v/>
      </c>
      <c r="X408" s="10" t="str">
        <f t="shared" si="58"/>
        <v/>
      </c>
      <c r="Y408" s="10" t="str">
        <f t="shared" si="59"/>
        <v/>
      </c>
      <c r="Z408" s="10" t="str">
        <f t="shared" si="60"/>
        <v/>
      </c>
      <c r="AA408" s="10" t="str">
        <f t="shared" si="61"/>
        <v/>
      </c>
      <c r="AC408" s="11"/>
      <c r="AD408" s="11"/>
      <c r="AE408" s="12" t="str">
        <f t="shared" si="62"/>
        <v/>
      </c>
    </row>
    <row r="409" spans="2:31" x14ac:dyDescent="0.25">
      <c r="B409" s="9"/>
      <c r="C409" t="s">
        <v>31</v>
      </c>
      <c r="D409" s="9" t="str">
        <f>IF($A409="","",1*'Material Costs'!$D$3)</f>
        <v/>
      </c>
      <c r="E409" s="9" t="str">
        <f>IF($A409="","",1*'Material Costs'!$D$2)</f>
        <v/>
      </c>
      <c r="F409" s="9" t="str">
        <f>IF($A409="","",IF($C409="Bubble Mailer",2,1)*'Material Costs'!$D$6)</f>
        <v/>
      </c>
      <c r="G409" s="9" t="str">
        <f>IF($A409="","",1*'Material Costs'!$D$7)</f>
        <v/>
      </c>
      <c r="H409" s="9" t="str">
        <f>IF($A409="","",IF($C409="Bubble Mailer",1,0)*'Material Costs'!$D$5)</f>
        <v/>
      </c>
      <c r="I409" s="9" t="str">
        <f>IF($A409="","",IF($C409="ESE (Ding Defend)",1,0)*'Material Costs'!$D$4)</f>
        <v/>
      </c>
      <c r="J409" s="9"/>
      <c r="K409" s="9" t="str">
        <f t="shared" si="54"/>
        <v/>
      </c>
      <c r="L409" s="9"/>
      <c r="M409" s="9"/>
      <c r="N409" s="9"/>
      <c r="O409" s="9" t="str">
        <f t="shared" si="55"/>
        <v/>
      </c>
      <c r="P409" s="9"/>
      <c r="Q409" s="9" t="str">
        <f>IF($A409="","",IF($O409="", "", ROUND($O409*Settings!$B$2+Settings!$B$3,2)))</f>
        <v/>
      </c>
      <c r="R409" s="9" t="str">
        <f>IF($A409="","",IF($L409="", "", Settings!$B$4))</f>
        <v/>
      </c>
      <c r="S409" s="9" t="str">
        <f t="shared" si="56"/>
        <v/>
      </c>
      <c r="T409" s="9" t="str">
        <f t="shared" si="57"/>
        <v/>
      </c>
      <c r="U409" s="9" t="str">
        <f>IF($A409="","",IF($K409="", "", ROUND((($K409 + Settings!$B$3 + $R409) - IF($M409="",0,$M409))/(1-Settings!$B$2),2)))</f>
        <v/>
      </c>
      <c r="V409" s="9" t="str">
        <f>IF($A409="","",$L409-($L409*Settings!$B$2)-$J409-($B409+SUM($D409:$I409)))</f>
        <v/>
      </c>
      <c r="W409" s="9" t="str">
        <f>IF($A409="","",(($B409+SUM($D409:$I409)+$J409+Settings!$B$3)/(1-Settings!$B$2))-$M409)</f>
        <v/>
      </c>
      <c r="X409" s="10" t="str">
        <f t="shared" si="58"/>
        <v/>
      </c>
      <c r="Y409" s="10" t="str">
        <f t="shared" si="59"/>
        <v/>
      </c>
      <c r="Z409" s="10" t="str">
        <f t="shared" si="60"/>
        <v/>
      </c>
      <c r="AA409" s="10" t="str">
        <f t="shared" si="61"/>
        <v/>
      </c>
      <c r="AC409" s="11"/>
      <c r="AD409" s="11"/>
      <c r="AE409" s="12" t="str">
        <f t="shared" si="62"/>
        <v/>
      </c>
    </row>
    <row r="410" spans="2:31" x14ac:dyDescent="0.25">
      <c r="B410" s="9"/>
      <c r="C410" t="s">
        <v>31</v>
      </c>
      <c r="D410" s="9" t="str">
        <f>IF($A410="","",1*'Material Costs'!$D$3)</f>
        <v/>
      </c>
      <c r="E410" s="9" t="str">
        <f>IF($A410="","",1*'Material Costs'!$D$2)</f>
        <v/>
      </c>
      <c r="F410" s="9" t="str">
        <f>IF($A410="","",IF($C410="Bubble Mailer",2,1)*'Material Costs'!$D$6)</f>
        <v/>
      </c>
      <c r="G410" s="9" t="str">
        <f>IF($A410="","",1*'Material Costs'!$D$7)</f>
        <v/>
      </c>
      <c r="H410" s="9" t="str">
        <f>IF($A410="","",IF($C410="Bubble Mailer",1,0)*'Material Costs'!$D$5)</f>
        <v/>
      </c>
      <c r="I410" s="9" t="str">
        <f>IF($A410="","",IF($C410="ESE (Ding Defend)",1,0)*'Material Costs'!$D$4)</f>
        <v/>
      </c>
      <c r="J410" s="9"/>
      <c r="K410" s="9" t="str">
        <f t="shared" si="54"/>
        <v/>
      </c>
      <c r="L410" s="9"/>
      <c r="M410" s="9"/>
      <c r="N410" s="9"/>
      <c r="O410" s="9" t="str">
        <f t="shared" si="55"/>
        <v/>
      </c>
      <c r="P410" s="9"/>
      <c r="Q410" s="9" t="str">
        <f>IF($A410="","",IF($O410="", "", ROUND($O410*Settings!$B$2+Settings!$B$3,2)))</f>
        <v/>
      </c>
      <c r="R410" s="9" t="str">
        <f>IF($A410="","",IF($L410="", "", Settings!$B$4))</f>
        <v/>
      </c>
      <c r="S410" s="9" t="str">
        <f t="shared" si="56"/>
        <v/>
      </c>
      <c r="T410" s="9" t="str">
        <f t="shared" si="57"/>
        <v/>
      </c>
      <c r="U410" s="9" t="str">
        <f>IF($A410="","",IF($K410="", "", ROUND((($K410 + Settings!$B$3 + $R410) - IF($M410="",0,$M410))/(1-Settings!$B$2),2)))</f>
        <v/>
      </c>
      <c r="V410" s="9" t="str">
        <f>IF($A410="","",$L410-($L410*Settings!$B$2)-$J410-($B410+SUM($D410:$I410)))</f>
        <v/>
      </c>
      <c r="W410" s="9" t="str">
        <f>IF($A410="","",(($B410+SUM($D410:$I410)+$J410+Settings!$B$3)/(1-Settings!$B$2))-$M410)</f>
        <v/>
      </c>
      <c r="X410" s="10" t="str">
        <f t="shared" si="58"/>
        <v/>
      </c>
      <c r="Y410" s="10" t="str">
        <f t="shared" si="59"/>
        <v/>
      </c>
      <c r="Z410" s="10" t="str">
        <f t="shared" si="60"/>
        <v/>
      </c>
      <c r="AA410" s="10" t="str">
        <f t="shared" si="61"/>
        <v/>
      </c>
      <c r="AC410" s="11"/>
      <c r="AD410" s="11"/>
      <c r="AE410" s="12" t="str">
        <f t="shared" si="62"/>
        <v/>
      </c>
    </row>
    <row r="411" spans="2:31" x14ac:dyDescent="0.25">
      <c r="B411" s="9"/>
      <c r="C411" t="s">
        <v>31</v>
      </c>
      <c r="D411" s="9" t="str">
        <f>IF($A411="","",1*'Material Costs'!$D$3)</f>
        <v/>
      </c>
      <c r="E411" s="9" t="str">
        <f>IF($A411="","",1*'Material Costs'!$D$2)</f>
        <v/>
      </c>
      <c r="F411" s="9" t="str">
        <f>IF($A411="","",IF($C411="Bubble Mailer",2,1)*'Material Costs'!$D$6)</f>
        <v/>
      </c>
      <c r="G411" s="9" t="str">
        <f>IF($A411="","",1*'Material Costs'!$D$7)</f>
        <v/>
      </c>
      <c r="H411" s="9" t="str">
        <f>IF($A411="","",IF($C411="Bubble Mailer",1,0)*'Material Costs'!$D$5)</f>
        <v/>
      </c>
      <c r="I411" s="9" t="str">
        <f>IF($A411="","",IF($C411="ESE (Ding Defend)",1,0)*'Material Costs'!$D$4)</f>
        <v/>
      </c>
      <c r="J411" s="9"/>
      <c r="K411" s="9" t="str">
        <f t="shared" si="54"/>
        <v/>
      </c>
      <c r="L411" s="9"/>
      <c r="M411" s="9"/>
      <c r="N411" s="9"/>
      <c r="O411" s="9" t="str">
        <f t="shared" si="55"/>
        <v/>
      </c>
      <c r="P411" s="9"/>
      <c r="Q411" s="9" t="str">
        <f>IF($A411="","",IF($O411="", "", ROUND($O411*Settings!$B$2+Settings!$B$3,2)))</f>
        <v/>
      </c>
      <c r="R411" s="9" t="str">
        <f>IF($A411="","",IF($L411="", "", Settings!$B$4))</f>
        <v/>
      </c>
      <c r="S411" s="9" t="str">
        <f t="shared" si="56"/>
        <v/>
      </c>
      <c r="T411" s="9" t="str">
        <f t="shared" si="57"/>
        <v/>
      </c>
      <c r="U411" s="9" t="str">
        <f>IF($A411="","",IF($K411="", "", ROUND((($K411 + Settings!$B$3 + $R411) - IF($M411="",0,$M411))/(1-Settings!$B$2),2)))</f>
        <v/>
      </c>
      <c r="V411" s="9" t="str">
        <f>IF($A411="","",$L411-($L411*Settings!$B$2)-$J411-($B411+SUM($D411:$I411)))</f>
        <v/>
      </c>
      <c r="W411" s="9" t="str">
        <f>IF($A411="","",(($B411+SUM($D411:$I411)+$J411+Settings!$B$3)/(1-Settings!$B$2))-$M411)</f>
        <v/>
      </c>
      <c r="X411" s="10" t="str">
        <f t="shared" si="58"/>
        <v/>
      </c>
      <c r="Y411" s="10" t="str">
        <f t="shared" si="59"/>
        <v/>
      </c>
      <c r="Z411" s="10" t="str">
        <f t="shared" si="60"/>
        <v/>
      </c>
      <c r="AA411" s="10" t="str">
        <f t="shared" si="61"/>
        <v/>
      </c>
      <c r="AC411" s="11"/>
      <c r="AD411" s="11"/>
      <c r="AE411" s="12" t="str">
        <f t="shared" si="62"/>
        <v/>
      </c>
    </row>
    <row r="412" spans="2:31" x14ac:dyDescent="0.25">
      <c r="B412" s="9"/>
      <c r="C412" t="s">
        <v>31</v>
      </c>
      <c r="D412" s="9" t="str">
        <f>IF($A412="","",1*'Material Costs'!$D$3)</f>
        <v/>
      </c>
      <c r="E412" s="9" t="str">
        <f>IF($A412="","",1*'Material Costs'!$D$2)</f>
        <v/>
      </c>
      <c r="F412" s="9" t="str">
        <f>IF($A412="","",IF($C412="Bubble Mailer",2,1)*'Material Costs'!$D$6)</f>
        <v/>
      </c>
      <c r="G412" s="9" t="str">
        <f>IF($A412="","",1*'Material Costs'!$D$7)</f>
        <v/>
      </c>
      <c r="H412" s="9" t="str">
        <f>IF($A412="","",IF($C412="Bubble Mailer",1,0)*'Material Costs'!$D$5)</f>
        <v/>
      </c>
      <c r="I412" s="9" t="str">
        <f>IF($A412="","",IF($C412="ESE (Ding Defend)",1,0)*'Material Costs'!$D$4)</f>
        <v/>
      </c>
      <c r="J412" s="9"/>
      <c r="K412" s="9" t="str">
        <f t="shared" si="54"/>
        <v/>
      </c>
      <c r="L412" s="9"/>
      <c r="M412" s="9"/>
      <c r="N412" s="9"/>
      <c r="O412" s="9" t="str">
        <f t="shared" si="55"/>
        <v/>
      </c>
      <c r="P412" s="9"/>
      <c r="Q412" s="9" t="str">
        <f>IF($A412="","",IF($O412="", "", ROUND($O412*Settings!$B$2+Settings!$B$3,2)))</f>
        <v/>
      </c>
      <c r="R412" s="9" t="str">
        <f>IF($A412="","",IF($L412="", "", Settings!$B$4))</f>
        <v/>
      </c>
      <c r="S412" s="9" t="str">
        <f t="shared" si="56"/>
        <v/>
      </c>
      <c r="T412" s="9" t="str">
        <f t="shared" si="57"/>
        <v/>
      </c>
      <c r="U412" s="9" t="str">
        <f>IF($A412="","",IF($K412="", "", ROUND((($K412 + Settings!$B$3 + $R412) - IF($M412="",0,$M412))/(1-Settings!$B$2),2)))</f>
        <v/>
      </c>
      <c r="V412" s="9" t="str">
        <f>IF($A412="","",$L412-($L412*Settings!$B$2)-$J412-($B412+SUM($D412:$I412)))</f>
        <v/>
      </c>
      <c r="W412" s="9" t="str">
        <f>IF($A412="","",(($B412+SUM($D412:$I412)+$J412+Settings!$B$3)/(1-Settings!$B$2))-$M412)</f>
        <v/>
      </c>
      <c r="X412" s="10" t="str">
        <f t="shared" si="58"/>
        <v/>
      </c>
      <c r="Y412" s="10" t="str">
        <f t="shared" si="59"/>
        <v/>
      </c>
      <c r="Z412" s="10" t="str">
        <f t="shared" si="60"/>
        <v/>
      </c>
      <c r="AA412" s="10" t="str">
        <f t="shared" si="61"/>
        <v/>
      </c>
      <c r="AC412" s="11"/>
      <c r="AD412" s="11"/>
      <c r="AE412" s="12" t="str">
        <f t="shared" si="62"/>
        <v/>
      </c>
    </row>
    <row r="413" spans="2:31" x14ac:dyDescent="0.25">
      <c r="B413" s="9"/>
      <c r="C413" t="s">
        <v>31</v>
      </c>
      <c r="D413" s="9" t="str">
        <f>IF($A413="","",1*'Material Costs'!$D$3)</f>
        <v/>
      </c>
      <c r="E413" s="9" t="str">
        <f>IF($A413="","",1*'Material Costs'!$D$2)</f>
        <v/>
      </c>
      <c r="F413" s="9" t="str">
        <f>IF($A413="","",IF($C413="Bubble Mailer",2,1)*'Material Costs'!$D$6)</f>
        <v/>
      </c>
      <c r="G413" s="9" t="str">
        <f>IF($A413="","",1*'Material Costs'!$D$7)</f>
        <v/>
      </c>
      <c r="H413" s="9" t="str">
        <f>IF($A413="","",IF($C413="Bubble Mailer",1,0)*'Material Costs'!$D$5)</f>
        <v/>
      </c>
      <c r="I413" s="9" t="str">
        <f>IF($A413="","",IF($C413="ESE (Ding Defend)",1,0)*'Material Costs'!$D$4)</f>
        <v/>
      </c>
      <c r="J413" s="9"/>
      <c r="K413" s="9" t="str">
        <f t="shared" si="54"/>
        <v/>
      </c>
      <c r="L413" s="9"/>
      <c r="M413" s="9"/>
      <c r="N413" s="9"/>
      <c r="O413" s="9" t="str">
        <f t="shared" si="55"/>
        <v/>
      </c>
      <c r="P413" s="9"/>
      <c r="Q413" s="9" t="str">
        <f>IF($A413="","",IF($O413="", "", ROUND($O413*Settings!$B$2+Settings!$B$3,2)))</f>
        <v/>
      </c>
      <c r="R413" s="9" t="str">
        <f>IF($A413="","",IF($L413="", "", Settings!$B$4))</f>
        <v/>
      </c>
      <c r="S413" s="9" t="str">
        <f t="shared" si="56"/>
        <v/>
      </c>
      <c r="T413" s="9" t="str">
        <f t="shared" si="57"/>
        <v/>
      </c>
      <c r="U413" s="9" t="str">
        <f>IF($A413="","",IF($K413="", "", ROUND((($K413 + Settings!$B$3 + $R413) - IF($M413="",0,$M413))/(1-Settings!$B$2),2)))</f>
        <v/>
      </c>
      <c r="V413" s="9" t="str">
        <f>IF($A413="","",$L413-($L413*Settings!$B$2)-$J413-($B413+SUM($D413:$I413)))</f>
        <v/>
      </c>
      <c r="W413" s="9" t="str">
        <f>IF($A413="","",(($B413+SUM($D413:$I413)+$J413+Settings!$B$3)/(1-Settings!$B$2))-$M413)</f>
        <v/>
      </c>
      <c r="X413" s="10" t="str">
        <f t="shared" si="58"/>
        <v/>
      </c>
      <c r="Y413" s="10" t="str">
        <f t="shared" si="59"/>
        <v/>
      </c>
      <c r="Z413" s="10" t="str">
        <f t="shared" si="60"/>
        <v/>
      </c>
      <c r="AA413" s="10" t="str">
        <f t="shared" si="61"/>
        <v/>
      </c>
      <c r="AC413" s="11"/>
      <c r="AD413" s="11"/>
      <c r="AE413" s="12" t="str">
        <f t="shared" si="62"/>
        <v/>
      </c>
    </row>
    <row r="414" spans="2:31" x14ac:dyDescent="0.25">
      <c r="B414" s="9"/>
      <c r="C414" t="s">
        <v>31</v>
      </c>
      <c r="D414" s="9" t="str">
        <f>IF($A414="","",1*'Material Costs'!$D$3)</f>
        <v/>
      </c>
      <c r="E414" s="9" t="str">
        <f>IF($A414="","",1*'Material Costs'!$D$2)</f>
        <v/>
      </c>
      <c r="F414" s="9" t="str">
        <f>IF($A414="","",IF($C414="Bubble Mailer",2,1)*'Material Costs'!$D$6)</f>
        <v/>
      </c>
      <c r="G414" s="9" t="str">
        <f>IF($A414="","",1*'Material Costs'!$D$7)</f>
        <v/>
      </c>
      <c r="H414" s="9" t="str">
        <f>IF($A414="","",IF($C414="Bubble Mailer",1,0)*'Material Costs'!$D$5)</f>
        <v/>
      </c>
      <c r="I414" s="9" t="str">
        <f>IF($A414="","",IF($C414="ESE (Ding Defend)",1,0)*'Material Costs'!$D$4)</f>
        <v/>
      </c>
      <c r="J414" s="9"/>
      <c r="K414" s="9" t="str">
        <f t="shared" si="54"/>
        <v/>
      </c>
      <c r="L414" s="9"/>
      <c r="M414" s="9"/>
      <c r="N414" s="9"/>
      <c r="O414" s="9" t="str">
        <f t="shared" si="55"/>
        <v/>
      </c>
      <c r="P414" s="9"/>
      <c r="Q414" s="9" t="str">
        <f>IF($A414="","",IF($O414="", "", ROUND($O414*Settings!$B$2+Settings!$B$3,2)))</f>
        <v/>
      </c>
      <c r="R414" s="9" t="str">
        <f>IF($A414="","",IF($L414="", "", Settings!$B$4))</f>
        <v/>
      </c>
      <c r="S414" s="9" t="str">
        <f t="shared" si="56"/>
        <v/>
      </c>
      <c r="T414" s="9" t="str">
        <f t="shared" si="57"/>
        <v/>
      </c>
      <c r="U414" s="9" t="str">
        <f>IF($A414="","",IF($K414="", "", ROUND((($K414 + Settings!$B$3 + $R414) - IF($M414="",0,$M414))/(1-Settings!$B$2),2)))</f>
        <v/>
      </c>
      <c r="V414" s="9" t="str">
        <f>IF($A414="","",$L414-($L414*Settings!$B$2)-$J414-($B414+SUM($D414:$I414)))</f>
        <v/>
      </c>
      <c r="W414" s="9" t="str">
        <f>IF($A414="","",(($B414+SUM($D414:$I414)+$J414+Settings!$B$3)/(1-Settings!$B$2))-$M414)</f>
        <v/>
      </c>
      <c r="X414" s="10" t="str">
        <f t="shared" si="58"/>
        <v/>
      </c>
      <c r="Y414" s="10" t="str">
        <f t="shared" si="59"/>
        <v/>
      </c>
      <c r="Z414" s="10" t="str">
        <f t="shared" si="60"/>
        <v/>
      </c>
      <c r="AA414" s="10" t="str">
        <f t="shared" si="61"/>
        <v/>
      </c>
      <c r="AC414" s="11"/>
      <c r="AD414" s="11"/>
      <c r="AE414" s="12" t="str">
        <f t="shared" si="62"/>
        <v/>
      </c>
    </row>
    <row r="415" spans="2:31" x14ac:dyDescent="0.25">
      <c r="B415" s="9"/>
      <c r="C415" t="s">
        <v>31</v>
      </c>
      <c r="D415" s="9" t="str">
        <f>IF($A415="","",1*'Material Costs'!$D$3)</f>
        <v/>
      </c>
      <c r="E415" s="9" t="str">
        <f>IF($A415="","",1*'Material Costs'!$D$2)</f>
        <v/>
      </c>
      <c r="F415" s="9" t="str">
        <f>IF($A415="","",IF($C415="Bubble Mailer",2,1)*'Material Costs'!$D$6)</f>
        <v/>
      </c>
      <c r="G415" s="9" t="str">
        <f>IF($A415="","",1*'Material Costs'!$D$7)</f>
        <v/>
      </c>
      <c r="H415" s="9" t="str">
        <f>IF($A415="","",IF($C415="Bubble Mailer",1,0)*'Material Costs'!$D$5)</f>
        <v/>
      </c>
      <c r="I415" s="9" t="str">
        <f>IF($A415="","",IF($C415="ESE (Ding Defend)",1,0)*'Material Costs'!$D$4)</f>
        <v/>
      </c>
      <c r="J415" s="9"/>
      <c r="K415" s="9" t="str">
        <f t="shared" si="54"/>
        <v/>
      </c>
      <c r="L415" s="9"/>
      <c r="M415" s="9"/>
      <c r="N415" s="9"/>
      <c r="O415" s="9" t="str">
        <f t="shared" si="55"/>
        <v/>
      </c>
      <c r="P415" s="9"/>
      <c r="Q415" s="9" t="str">
        <f>IF($A415="","",IF($O415="", "", ROUND($O415*Settings!$B$2+Settings!$B$3,2)))</f>
        <v/>
      </c>
      <c r="R415" s="9" t="str">
        <f>IF($A415="","",IF($L415="", "", Settings!$B$4))</f>
        <v/>
      </c>
      <c r="S415" s="9" t="str">
        <f t="shared" si="56"/>
        <v/>
      </c>
      <c r="T415" s="9" t="str">
        <f t="shared" si="57"/>
        <v/>
      </c>
      <c r="U415" s="9" t="str">
        <f>IF($A415="","",IF($K415="", "", ROUND((($K415 + Settings!$B$3 + $R415) - IF($M415="",0,$M415))/(1-Settings!$B$2),2)))</f>
        <v/>
      </c>
      <c r="V415" s="9" t="str">
        <f>IF($A415="","",$L415-($L415*Settings!$B$2)-$J415-($B415+SUM($D415:$I415)))</f>
        <v/>
      </c>
      <c r="W415" s="9" t="str">
        <f>IF($A415="","",(($B415+SUM($D415:$I415)+$J415+Settings!$B$3)/(1-Settings!$B$2))-$M415)</f>
        <v/>
      </c>
      <c r="X415" s="10" t="str">
        <f t="shared" si="58"/>
        <v/>
      </c>
      <c r="Y415" s="10" t="str">
        <f t="shared" si="59"/>
        <v/>
      </c>
      <c r="Z415" s="10" t="str">
        <f t="shared" si="60"/>
        <v/>
      </c>
      <c r="AA415" s="10" t="str">
        <f t="shared" si="61"/>
        <v/>
      </c>
      <c r="AC415" s="11"/>
      <c r="AD415" s="11"/>
      <c r="AE415" s="12" t="str">
        <f t="shared" si="62"/>
        <v/>
      </c>
    </row>
    <row r="416" spans="2:31" x14ac:dyDescent="0.25">
      <c r="B416" s="9"/>
      <c r="C416" t="s">
        <v>31</v>
      </c>
      <c r="D416" s="9" t="str">
        <f>IF($A416="","",1*'Material Costs'!$D$3)</f>
        <v/>
      </c>
      <c r="E416" s="9" t="str">
        <f>IF($A416="","",1*'Material Costs'!$D$2)</f>
        <v/>
      </c>
      <c r="F416" s="9" t="str">
        <f>IF($A416="","",IF($C416="Bubble Mailer",2,1)*'Material Costs'!$D$6)</f>
        <v/>
      </c>
      <c r="G416" s="9" t="str">
        <f>IF($A416="","",1*'Material Costs'!$D$7)</f>
        <v/>
      </c>
      <c r="H416" s="9" t="str">
        <f>IF($A416="","",IF($C416="Bubble Mailer",1,0)*'Material Costs'!$D$5)</f>
        <v/>
      </c>
      <c r="I416" s="9" t="str">
        <f>IF($A416="","",IF($C416="ESE (Ding Defend)",1,0)*'Material Costs'!$D$4)</f>
        <v/>
      </c>
      <c r="J416" s="9"/>
      <c r="K416" s="9" t="str">
        <f t="shared" si="54"/>
        <v/>
      </c>
      <c r="L416" s="9"/>
      <c r="M416" s="9"/>
      <c r="N416" s="9"/>
      <c r="O416" s="9" t="str">
        <f t="shared" si="55"/>
        <v/>
      </c>
      <c r="P416" s="9"/>
      <c r="Q416" s="9" t="str">
        <f>IF($A416="","",IF($O416="", "", ROUND($O416*Settings!$B$2+Settings!$B$3,2)))</f>
        <v/>
      </c>
      <c r="R416" s="9" t="str">
        <f>IF($A416="","",IF($L416="", "", Settings!$B$4))</f>
        <v/>
      </c>
      <c r="S416" s="9" t="str">
        <f t="shared" si="56"/>
        <v/>
      </c>
      <c r="T416" s="9" t="str">
        <f t="shared" si="57"/>
        <v/>
      </c>
      <c r="U416" s="9" t="str">
        <f>IF($A416="","",IF($K416="", "", ROUND((($K416 + Settings!$B$3 + $R416) - IF($M416="",0,$M416))/(1-Settings!$B$2),2)))</f>
        <v/>
      </c>
      <c r="V416" s="9" t="str">
        <f>IF($A416="","",$L416-($L416*Settings!$B$2)-$J416-($B416+SUM($D416:$I416)))</f>
        <v/>
      </c>
      <c r="W416" s="9" t="str">
        <f>IF($A416="","",(($B416+SUM($D416:$I416)+$J416+Settings!$B$3)/(1-Settings!$B$2))-$M416)</f>
        <v/>
      </c>
      <c r="X416" s="10" t="str">
        <f t="shared" si="58"/>
        <v/>
      </c>
      <c r="Y416" s="10" t="str">
        <f t="shared" si="59"/>
        <v/>
      </c>
      <c r="Z416" s="10" t="str">
        <f t="shared" si="60"/>
        <v/>
      </c>
      <c r="AA416" s="10" t="str">
        <f t="shared" si="61"/>
        <v/>
      </c>
      <c r="AC416" s="11"/>
      <c r="AD416" s="11"/>
      <c r="AE416" s="12" t="str">
        <f t="shared" si="62"/>
        <v/>
      </c>
    </row>
    <row r="417" spans="2:31" x14ac:dyDescent="0.25">
      <c r="B417" s="9"/>
      <c r="C417" t="s">
        <v>31</v>
      </c>
      <c r="D417" s="9" t="str">
        <f>IF($A417="","",1*'Material Costs'!$D$3)</f>
        <v/>
      </c>
      <c r="E417" s="9" t="str">
        <f>IF($A417="","",1*'Material Costs'!$D$2)</f>
        <v/>
      </c>
      <c r="F417" s="9" t="str">
        <f>IF($A417="","",IF($C417="Bubble Mailer",2,1)*'Material Costs'!$D$6)</f>
        <v/>
      </c>
      <c r="G417" s="9" t="str">
        <f>IF($A417="","",1*'Material Costs'!$D$7)</f>
        <v/>
      </c>
      <c r="H417" s="9" t="str">
        <f>IF($A417="","",IF($C417="Bubble Mailer",1,0)*'Material Costs'!$D$5)</f>
        <v/>
      </c>
      <c r="I417" s="9" t="str">
        <f>IF($A417="","",IF($C417="ESE (Ding Defend)",1,0)*'Material Costs'!$D$4)</f>
        <v/>
      </c>
      <c r="J417" s="9"/>
      <c r="K417" s="9" t="str">
        <f t="shared" si="54"/>
        <v/>
      </c>
      <c r="L417" s="9"/>
      <c r="M417" s="9"/>
      <c r="N417" s="9"/>
      <c r="O417" s="9" t="str">
        <f t="shared" si="55"/>
        <v/>
      </c>
      <c r="P417" s="9"/>
      <c r="Q417" s="9" t="str">
        <f>IF($A417="","",IF($O417="", "", ROUND($O417*Settings!$B$2+Settings!$B$3,2)))</f>
        <v/>
      </c>
      <c r="R417" s="9" t="str">
        <f>IF($A417="","",IF($L417="", "", Settings!$B$4))</f>
        <v/>
      </c>
      <c r="S417" s="9" t="str">
        <f t="shared" si="56"/>
        <v/>
      </c>
      <c r="T417" s="9" t="str">
        <f t="shared" si="57"/>
        <v/>
      </c>
      <c r="U417" s="9" t="str">
        <f>IF($A417="","",IF($K417="", "", ROUND((($K417 + Settings!$B$3 + $R417) - IF($M417="",0,$M417))/(1-Settings!$B$2),2)))</f>
        <v/>
      </c>
      <c r="V417" s="9" t="str">
        <f>IF($A417="","",$L417-($L417*Settings!$B$2)-$J417-($B417+SUM($D417:$I417)))</f>
        <v/>
      </c>
      <c r="W417" s="9" t="str">
        <f>IF($A417="","",(($B417+SUM($D417:$I417)+$J417+Settings!$B$3)/(1-Settings!$B$2))-$M417)</f>
        <v/>
      </c>
      <c r="X417" s="10" t="str">
        <f t="shared" si="58"/>
        <v/>
      </c>
      <c r="Y417" s="10" t="str">
        <f t="shared" si="59"/>
        <v/>
      </c>
      <c r="Z417" s="10" t="str">
        <f t="shared" si="60"/>
        <v/>
      </c>
      <c r="AA417" s="10" t="str">
        <f t="shared" si="61"/>
        <v/>
      </c>
      <c r="AC417" s="11"/>
      <c r="AD417" s="11"/>
      <c r="AE417" s="12" t="str">
        <f t="shared" si="62"/>
        <v/>
      </c>
    </row>
    <row r="418" spans="2:31" x14ac:dyDescent="0.25">
      <c r="B418" s="9"/>
      <c r="C418" t="s">
        <v>31</v>
      </c>
      <c r="D418" s="9" t="str">
        <f>IF($A418="","",1*'Material Costs'!$D$3)</f>
        <v/>
      </c>
      <c r="E418" s="9" t="str">
        <f>IF($A418="","",1*'Material Costs'!$D$2)</f>
        <v/>
      </c>
      <c r="F418" s="9" t="str">
        <f>IF($A418="","",IF($C418="Bubble Mailer",2,1)*'Material Costs'!$D$6)</f>
        <v/>
      </c>
      <c r="G418" s="9" t="str">
        <f>IF($A418="","",1*'Material Costs'!$D$7)</f>
        <v/>
      </c>
      <c r="H418" s="9" t="str">
        <f>IF($A418="","",IF($C418="Bubble Mailer",1,0)*'Material Costs'!$D$5)</f>
        <v/>
      </c>
      <c r="I418" s="9" t="str">
        <f>IF($A418="","",IF($C418="ESE (Ding Defend)",1,0)*'Material Costs'!$D$4)</f>
        <v/>
      </c>
      <c r="J418" s="9"/>
      <c r="K418" s="9" t="str">
        <f t="shared" si="54"/>
        <v/>
      </c>
      <c r="L418" s="9"/>
      <c r="M418" s="9"/>
      <c r="N418" s="9"/>
      <c r="O418" s="9" t="str">
        <f t="shared" si="55"/>
        <v/>
      </c>
      <c r="P418" s="9"/>
      <c r="Q418" s="9" t="str">
        <f>IF($A418="","",IF($O418="", "", ROUND($O418*Settings!$B$2+Settings!$B$3,2)))</f>
        <v/>
      </c>
      <c r="R418" s="9" t="str">
        <f>IF($A418="","",IF($L418="", "", Settings!$B$4))</f>
        <v/>
      </c>
      <c r="S418" s="9" t="str">
        <f t="shared" si="56"/>
        <v/>
      </c>
      <c r="T418" s="9" t="str">
        <f t="shared" si="57"/>
        <v/>
      </c>
      <c r="U418" s="9" t="str">
        <f>IF($A418="","",IF($K418="", "", ROUND((($K418 + Settings!$B$3 + $R418) - IF($M418="",0,$M418))/(1-Settings!$B$2),2)))</f>
        <v/>
      </c>
      <c r="V418" s="9" t="str">
        <f>IF($A418="","",$L418-($L418*Settings!$B$2)-$J418-($B418+SUM($D418:$I418)))</f>
        <v/>
      </c>
      <c r="W418" s="9" t="str">
        <f>IF($A418="","",(($B418+SUM($D418:$I418)+$J418+Settings!$B$3)/(1-Settings!$B$2))-$M418)</f>
        <v/>
      </c>
      <c r="X418" s="10" t="str">
        <f t="shared" si="58"/>
        <v/>
      </c>
      <c r="Y418" s="10" t="str">
        <f t="shared" si="59"/>
        <v/>
      </c>
      <c r="Z418" s="10" t="str">
        <f t="shared" si="60"/>
        <v/>
      </c>
      <c r="AA418" s="10" t="str">
        <f t="shared" si="61"/>
        <v/>
      </c>
      <c r="AC418" s="11"/>
      <c r="AD418" s="11"/>
      <c r="AE418" s="12" t="str">
        <f t="shared" si="62"/>
        <v/>
      </c>
    </row>
    <row r="419" spans="2:31" x14ac:dyDescent="0.25">
      <c r="B419" s="9"/>
      <c r="C419" t="s">
        <v>31</v>
      </c>
      <c r="D419" s="9" t="str">
        <f>IF($A419="","",1*'Material Costs'!$D$3)</f>
        <v/>
      </c>
      <c r="E419" s="9" t="str">
        <f>IF($A419="","",1*'Material Costs'!$D$2)</f>
        <v/>
      </c>
      <c r="F419" s="9" t="str">
        <f>IF($A419="","",IF($C419="Bubble Mailer",2,1)*'Material Costs'!$D$6)</f>
        <v/>
      </c>
      <c r="G419" s="9" t="str">
        <f>IF($A419="","",1*'Material Costs'!$D$7)</f>
        <v/>
      </c>
      <c r="H419" s="9" t="str">
        <f>IF($A419="","",IF($C419="Bubble Mailer",1,0)*'Material Costs'!$D$5)</f>
        <v/>
      </c>
      <c r="I419" s="9" t="str">
        <f>IF($A419="","",IF($C419="ESE (Ding Defend)",1,0)*'Material Costs'!$D$4)</f>
        <v/>
      </c>
      <c r="J419" s="9"/>
      <c r="K419" s="9" t="str">
        <f t="shared" si="54"/>
        <v/>
      </c>
      <c r="L419" s="9"/>
      <c r="M419" s="9"/>
      <c r="N419" s="9"/>
      <c r="O419" s="9" t="str">
        <f t="shared" si="55"/>
        <v/>
      </c>
      <c r="P419" s="9"/>
      <c r="Q419" s="9" t="str">
        <f>IF($A419="","",IF($O419="", "", ROUND($O419*Settings!$B$2+Settings!$B$3,2)))</f>
        <v/>
      </c>
      <c r="R419" s="9" t="str">
        <f>IF($A419="","",IF($L419="", "", Settings!$B$4))</f>
        <v/>
      </c>
      <c r="S419" s="9" t="str">
        <f t="shared" si="56"/>
        <v/>
      </c>
      <c r="T419" s="9" t="str">
        <f t="shared" si="57"/>
        <v/>
      </c>
      <c r="U419" s="9" t="str">
        <f>IF($A419="","",IF($K419="", "", ROUND((($K419 + Settings!$B$3 + $R419) - IF($M419="",0,$M419))/(1-Settings!$B$2),2)))</f>
        <v/>
      </c>
      <c r="V419" s="9" t="str">
        <f>IF($A419="","",$L419-($L419*Settings!$B$2)-$J419-($B419+SUM($D419:$I419)))</f>
        <v/>
      </c>
      <c r="W419" s="9" t="str">
        <f>IF($A419="","",(($B419+SUM($D419:$I419)+$J419+Settings!$B$3)/(1-Settings!$B$2))-$M419)</f>
        <v/>
      </c>
      <c r="X419" s="10" t="str">
        <f t="shared" si="58"/>
        <v/>
      </c>
      <c r="Y419" s="10" t="str">
        <f t="shared" si="59"/>
        <v/>
      </c>
      <c r="Z419" s="10" t="str">
        <f t="shared" si="60"/>
        <v/>
      </c>
      <c r="AA419" s="10" t="str">
        <f t="shared" si="61"/>
        <v/>
      </c>
      <c r="AC419" s="11"/>
      <c r="AD419" s="11"/>
      <c r="AE419" s="12" t="str">
        <f t="shared" si="62"/>
        <v/>
      </c>
    </row>
    <row r="420" spans="2:31" x14ac:dyDescent="0.25">
      <c r="B420" s="9"/>
      <c r="C420" t="s">
        <v>31</v>
      </c>
      <c r="D420" s="9" t="str">
        <f>IF($A420="","",1*'Material Costs'!$D$3)</f>
        <v/>
      </c>
      <c r="E420" s="9" t="str">
        <f>IF($A420="","",1*'Material Costs'!$D$2)</f>
        <v/>
      </c>
      <c r="F420" s="9" t="str">
        <f>IF($A420="","",IF($C420="Bubble Mailer",2,1)*'Material Costs'!$D$6)</f>
        <v/>
      </c>
      <c r="G420" s="9" t="str">
        <f>IF($A420="","",1*'Material Costs'!$D$7)</f>
        <v/>
      </c>
      <c r="H420" s="9" t="str">
        <f>IF($A420="","",IF($C420="Bubble Mailer",1,0)*'Material Costs'!$D$5)</f>
        <v/>
      </c>
      <c r="I420" s="9" t="str">
        <f>IF($A420="","",IF($C420="ESE (Ding Defend)",1,0)*'Material Costs'!$D$4)</f>
        <v/>
      </c>
      <c r="J420" s="9"/>
      <c r="K420" s="9" t="str">
        <f t="shared" si="54"/>
        <v/>
      </c>
      <c r="L420" s="9"/>
      <c r="M420" s="9"/>
      <c r="N420" s="9"/>
      <c r="O420" s="9" t="str">
        <f t="shared" si="55"/>
        <v/>
      </c>
      <c r="P420" s="9"/>
      <c r="Q420" s="9" t="str">
        <f>IF($A420="","",IF($O420="", "", ROUND($O420*Settings!$B$2+Settings!$B$3,2)))</f>
        <v/>
      </c>
      <c r="R420" s="9" t="str">
        <f>IF($A420="","",IF($L420="", "", Settings!$B$4))</f>
        <v/>
      </c>
      <c r="S420" s="9" t="str">
        <f t="shared" si="56"/>
        <v/>
      </c>
      <c r="T420" s="9" t="str">
        <f t="shared" si="57"/>
        <v/>
      </c>
      <c r="U420" s="9" t="str">
        <f>IF($A420="","",IF($K420="", "", ROUND((($K420 + Settings!$B$3 + $R420) - IF($M420="",0,$M420))/(1-Settings!$B$2),2)))</f>
        <v/>
      </c>
      <c r="V420" s="9" t="str">
        <f>IF($A420="","",$L420-($L420*Settings!$B$2)-$J420-($B420+SUM($D420:$I420)))</f>
        <v/>
      </c>
      <c r="W420" s="9" t="str">
        <f>IF($A420="","",(($B420+SUM($D420:$I420)+$J420+Settings!$B$3)/(1-Settings!$B$2))-$M420)</f>
        <v/>
      </c>
      <c r="X420" s="10" t="str">
        <f t="shared" si="58"/>
        <v/>
      </c>
      <c r="Y420" s="10" t="str">
        <f t="shared" si="59"/>
        <v/>
      </c>
      <c r="Z420" s="10" t="str">
        <f t="shared" si="60"/>
        <v/>
      </c>
      <c r="AA420" s="10" t="str">
        <f t="shared" si="61"/>
        <v/>
      </c>
      <c r="AC420" s="11"/>
      <c r="AD420" s="11"/>
      <c r="AE420" s="12" t="str">
        <f t="shared" si="62"/>
        <v/>
      </c>
    </row>
    <row r="421" spans="2:31" x14ac:dyDescent="0.25">
      <c r="B421" s="9"/>
      <c r="C421" t="s">
        <v>31</v>
      </c>
      <c r="D421" s="9" t="str">
        <f>IF($A421="","",1*'Material Costs'!$D$3)</f>
        <v/>
      </c>
      <c r="E421" s="9" t="str">
        <f>IF($A421="","",1*'Material Costs'!$D$2)</f>
        <v/>
      </c>
      <c r="F421" s="9" t="str">
        <f>IF($A421="","",IF($C421="Bubble Mailer",2,1)*'Material Costs'!$D$6)</f>
        <v/>
      </c>
      <c r="G421" s="9" t="str">
        <f>IF($A421="","",1*'Material Costs'!$D$7)</f>
        <v/>
      </c>
      <c r="H421" s="9" t="str">
        <f>IF($A421="","",IF($C421="Bubble Mailer",1,0)*'Material Costs'!$D$5)</f>
        <v/>
      </c>
      <c r="I421" s="9" t="str">
        <f>IF($A421="","",IF($C421="ESE (Ding Defend)",1,0)*'Material Costs'!$D$4)</f>
        <v/>
      </c>
      <c r="J421" s="9"/>
      <c r="K421" s="9" t="str">
        <f t="shared" si="54"/>
        <v/>
      </c>
      <c r="L421" s="9"/>
      <c r="M421" s="9"/>
      <c r="N421" s="9"/>
      <c r="O421" s="9" t="str">
        <f t="shared" si="55"/>
        <v/>
      </c>
      <c r="P421" s="9"/>
      <c r="Q421" s="9" t="str">
        <f>IF($A421="","",IF($O421="", "", ROUND($O421*Settings!$B$2+Settings!$B$3,2)))</f>
        <v/>
      </c>
      <c r="R421" s="9" t="str">
        <f>IF($A421="","",IF($L421="", "", Settings!$B$4))</f>
        <v/>
      </c>
      <c r="S421" s="9" t="str">
        <f t="shared" si="56"/>
        <v/>
      </c>
      <c r="T421" s="9" t="str">
        <f t="shared" si="57"/>
        <v/>
      </c>
      <c r="U421" s="9" t="str">
        <f>IF($A421="","",IF($K421="", "", ROUND((($K421 + Settings!$B$3 + $R421) - IF($M421="",0,$M421))/(1-Settings!$B$2),2)))</f>
        <v/>
      </c>
      <c r="V421" s="9" t="str">
        <f>IF($A421="","",$L421-($L421*Settings!$B$2)-$J421-($B421+SUM($D421:$I421)))</f>
        <v/>
      </c>
      <c r="W421" s="9" t="str">
        <f>IF($A421="","",(($B421+SUM($D421:$I421)+$J421+Settings!$B$3)/(1-Settings!$B$2))-$M421)</f>
        <v/>
      </c>
      <c r="X421" s="10" t="str">
        <f t="shared" si="58"/>
        <v/>
      </c>
      <c r="Y421" s="10" t="str">
        <f t="shared" si="59"/>
        <v/>
      </c>
      <c r="Z421" s="10" t="str">
        <f t="shared" si="60"/>
        <v/>
      </c>
      <c r="AA421" s="10" t="str">
        <f t="shared" si="61"/>
        <v/>
      </c>
      <c r="AC421" s="11"/>
      <c r="AD421" s="11"/>
      <c r="AE421" s="12" t="str">
        <f t="shared" si="62"/>
        <v/>
      </c>
    </row>
    <row r="422" spans="2:31" x14ac:dyDescent="0.25">
      <c r="B422" s="9"/>
      <c r="C422" t="s">
        <v>31</v>
      </c>
      <c r="D422" s="9" t="str">
        <f>IF($A422="","",1*'Material Costs'!$D$3)</f>
        <v/>
      </c>
      <c r="E422" s="9" t="str">
        <f>IF($A422="","",1*'Material Costs'!$D$2)</f>
        <v/>
      </c>
      <c r="F422" s="9" t="str">
        <f>IF($A422="","",IF($C422="Bubble Mailer",2,1)*'Material Costs'!$D$6)</f>
        <v/>
      </c>
      <c r="G422" s="9" t="str">
        <f>IF($A422="","",1*'Material Costs'!$D$7)</f>
        <v/>
      </c>
      <c r="H422" s="9" t="str">
        <f>IF($A422="","",IF($C422="Bubble Mailer",1,0)*'Material Costs'!$D$5)</f>
        <v/>
      </c>
      <c r="I422" s="9" t="str">
        <f>IF($A422="","",IF($C422="ESE (Ding Defend)",1,0)*'Material Costs'!$D$4)</f>
        <v/>
      </c>
      <c r="J422" s="9"/>
      <c r="K422" s="9" t="str">
        <f t="shared" si="54"/>
        <v/>
      </c>
      <c r="L422" s="9"/>
      <c r="M422" s="9"/>
      <c r="N422" s="9"/>
      <c r="O422" s="9" t="str">
        <f t="shared" si="55"/>
        <v/>
      </c>
      <c r="P422" s="9"/>
      <c r="Q422" s="9" t="str">
        <f>IF($A422="","",IF($O422="", "", ROUND($O422*Settings!$B$2+Settings!$B$3,2)))</f>
        <v/>
      </c>
      <c r="R422" s="9" t="str">
        <f>IF($A422="","",IF($L422="", "", Settings!$B$4))</f>
        <v/>
      </c>
      <c r="S422" s="9" t="str">
        <f t="shared" si="56"/>
        <v/>
      </c>
      <c r="T422" s="9" t="str">
        <f t="shared" si="57"/>
        <v/>
      </c>
      <c r="U422" s="9" t="str">
        <f>IF($A422="","",IF($K422="", "", ROUND((($K422 + Settings!$B$3 + $R422) - IF($M422="",0,$M422))/(1-Settings!$B$2),2)))</f>
        <v/>
      </c>
      <c r="V422" s="9" t="str">
        <f>IF($A422="","",$L422-($L422*Settings!$B$2)-$J422-($B422+SUM($D422:$I422)))</f>
        <v/>
      </c>
      <c r="W422" s="9" t="str">
        <f>IF($A422="","",(($B422+SUM($D422:$I422)+$J422+Settings!$B$3)/(1-Settings!$B$2))-$M422)</f>
        <v/>
      </c>
      <c r="X422" s="10" t="str">
        <f t="shared" si="58"/>
        <v/>
      </c>
      <c r="Y422" s="10" t="str">
        <f t="shared" si="59"/>
        <v/>
      </c>
      <c r="Z422" s="10" t="str">
        <f t="shared" si="60"/>
        <v/>
      </c>
      <c r="AA422" s="10" t="str">
        <f t="shared" si="61"/>
        <v/>
      </c>
      <c r="AC422" s="11"/>
      <c r="AD422" s="11"/>
      <c r="AE422" s="12" t="str">
        <f t="shared" si="62"/>
        <v/>
      </c>
    </row>
    <row r="423" spans="2:31" x14ac:dyDescent="0.25">
      <c r="B423" s="9"/>
      <c r="C423" t="s">
        <v>31</v>
      </c>
      <c r="D423" s="9" t="str">
        <f>IF($A423="","",1*'Material Costs'!$D$3)</f>
        <v/>
      </c>
      <c r="E423" s="9" t="str">
        <f>IF($A423="","",1*'Material Costs'!$D$2)</f>
        <v/>
      </c>
      <c r="F423" s="9" t="str">
        <f>IF($A423="","",IF($C423="Bubble Mailer",2,1)*'Material Costs'!$D$6)</f>
        <v/>
      </c>
      <c r="G423" s="9" t="str">
        <f>IF($A423="","",1*'Material Costs'!$D$7)</f>
        <v/>
      </c>
      <c r="H423" s="9" t="str">
        <f>IF($A423="","",IF($C423="Bubble Mailer",1,0)*'Material Costs'!$D$5)</f>
        <v/>
      </c>
      <c r="I423" s="9" t="str">
        <f>IF($A423="","",IF($C423="ESE (Ding Defend)",1,0)*'Material Costs'!$D$4)</f>
        <v/>
      </c>
      <c r="J423" s="9"/>
      <c r="K423" s="9" t="str">
        <f t="shared" si="54"/>
        <v/>
      </c>
      <c r="L423" s="9"/>
      <c r="M423" s="9"/>
      <c r="N423" s="9"/>
      <c r="O423" s="9" t="str">
        <f t="shared" si="55"/>
        <v/>
      </c>
      <c r="P423" s="9"/>
      <c r="Q423" s="9" t="str">
        <f>IF($A423="","",IF($O423="", "", ROUND($O423*Settings!$B$2+Settings!$B$3,2)))</f>
        <v/>
      </c>
      <c r="R423" s="9" t="str">
        <f>IF($A423="","",IF($L423="", "", Settings!$B$4))</f>
        <v/>
      </c>
      <c r="S423" s="9" t="str">
        <f t="shared" si="56"/>
        <v/>
      </c>
      <c r="T423" s="9" t="str">
        <f t="shared" si="57"/>
        <v/>
      </c>
      <c r="U423" s="9" t="str">
        <f>IF($A423="","",IF($K423="", "", ROUND((($K423 + Settings!$B$3 + $R423) - IF($M423="",0,$M423))/(1-Settings!$B$2),2)))</f>
        <v/>
      </c>
      <c r="V423" s="9" t="str">
        <f>IF($A423="","",$L423-($L423*Settings!$B$2)-$J423-($B423+SUM($D423:$I423)))</f>
        <v/>
      </c>
      <c r="W423" s="9" t="str">
        <f>IF($A423="","",(($B423+SUM($D423:$I423)+$J423+Settings!$B$3)/(1-Settings!$B$2))-$M423)</f>
        <v/>
      </c>
      <c r="X423" s="10" t="str">
        <f t="shared" si="58"/>
        <v/>
      </c>
      <c r="Y423" s="10" t="str">
        <f t="shared" si="59"/>
        <v/>
      </c>
      <c r="Z423" s="10" t="str">
        <f t="shared" si="60"/>
        <v/>
      </c>
      <c r="AA423" s="10" t="str">
        <f t="shared" si="61"/>
        <v/>
      </c>
      <c r="AC423" s="11"/>
      <c r="AD423" s="11"/>
      <c r="AE423" s="12" t="str">
        <f t="shared" si="62"/>
        <v/>
      </c>
    </row>
    <row r="424" spans="2:31" x14ac:dyDescent="0.25">
      <c r="B424" s="9"/>
      <c r="C424" t="s">
        <v>31</v>
      </c>
      <c r="D424" s="9" t="str">
        <f>IF($A424="","",1*'Material Costs'!$D$3)</f>
        <v/>
      </c>
      <c r="E424" s="9" t="str">
        <f>IF($A424="","",1*'Material Costs'!$D$2)</f>
        <v/>
      </c>
      <c r="F424" s="9" t="str">
        <f>IF($A424="","",IF($C424="Bubble Mailer",2,1)*'Material Costs'!$D$6)</f>
        <v/>
      </c>
      <c r="G424" s="9" t="str">
        <f>IF($A424="","",1*'Material Costs'!$D$7)</f>
        <v/>
      </c>
      <c r="H424" s="9" t="str">
        <f>IF($A424="","",IF($C424="Bubble Mailer",1,0)*'Material Costs'!$D$5)</f>
        <v/>
      </c>
      <c r="I424" s="9" t="str">
        <f>IF($A424="","",IF($C424="ESE (Ding Defend)",1,0)*'Material Costs'!$D$4)</f>
        <v/>
      </c>
      <c r="J424" s="9"/>
      <c r="K424" s="9" t="str">
        <f t="shared" si="54"/>
        <v/>
      </c>
      <c r="L424" s="9"/>
      <c r="M424" s="9"/>
      <c r="N424" s="9"/>
      <c r="O424" s="9" t="str">
        <f t="shared" si="55"/>
        <v/>
      </c>
      <c r="P424" s="9"/>
      <c r="Q424" s="9" t="str">
        <f>IF($A424="","",IF($O424="", "", ROUND($O424*Settings!$B$2+Settings!$B$3,2)))</f>
        <v/>
      </c>
      <c r="R424" s="9" t="str">
        <f>IF($A424="","",IF($L424="", "", Settings!$B$4))</f>
        <v/>
      </c>
      <c r="S424" s="9" t="str">
        <f t="shared" si="56"/>
        <v/>
      </c>
      <c r="T424" s="9" t="str">
        <f t="shared" si="57"/>
        <v/>
      </c>
      <c r="U424" s="9" t="str">
        <f>IF($A424="","",IF($K424="", "", ROUND((($K424 + Settings!$B$3 + $R424) - IF($M424="",0,$M424))/(1-Settings!$B$2),2)))</f>
        <v/>
      </c>
      <c r="V424" s="9" t="str">
        <f>IF($A424="","",$L424-($L424*Settings!$B$2)-$J424-($B424+SUM($D424:$I424)))</f>
        <v/>
      </c>
      <c r="W424" s="9" t="str">
        <f>IF($A424="","",(($B424+SUM($D424:$I424)+$J424+Settings!$B$3)/(1-Settings!$B$2))-$M424)</f>
        <v/>
      </c>
      <c r="X424" s="10" t="str">
        <f t="shared" si="58"/>
        <v/>
      </c>
      <c r="Y424" s="10" t="str">
        <f t="shared" si="59"/>
        <v/>
      </c>
      <c r="Z424" s="10" t="str">
        <f t="shared" si="60"/>
        <v/>
      </c>
      <c r="AA424" s="10" t="str">
        <f t="shared" si="61"/>
        <v/>
      </c>
      <c r="AC424" s="11"/>
      <c r="AD424" s="11"/>
      <c r="AE424" s="12" t="str">
        <f t="shared" si="62"/>
        <v/>
      </c>
    </row>
    <row r="425" spans="2:31" x14ac:dyDescent="0.25">
      <c r="B425" s="9"/>
      <c r="C425" t="s">
        <v>31</v>
      </c>
      <c r="D425" s="9" t="str">
        <f>IF($A425="","",1*'Material Costs'!$D$3)</f>
        <v/>
      </c>
      <c r="E425" s="9" t="str">
        <f>IF($A425="","",1*'Material Costs'!$D$2)</f>
        <v/>
      </c>
      <c r="F425" s="9" t="str">
        <f>IF($A425="","",IF($C425="Bubble Mailer",2,1)*'Material Costs'!$D$6)</f>
        <v/>
      </c>
      <c r="G425" s="9" t="str">
        <f>IF($A425="","",1*'Material Costs'!$D$7)</f>
        <v/>
      </c>
      <c r="H425" s="9" t="str">
        <f>IF($A425="","",IF($C425="Bubble Mailer",1,0)*'Material Costs'!$D$5)</f>
        <v/>
      </c>
      <c r="I425" s="9" t="str">
        <f>IF($A425="","",IF($C425="ESE (Ding Defend)",1,0)*'Material Costs'!$D$4)</f>
        <v/>
      </c>
      <c r="J425" s="9"/>
      <c r="K425" s="9" t="str">
        <f t="shared" si="54"/>
        <v/>
      </c>
      <c r="L425" s="9"/>
      <c r="M425" s="9"/>
      <c r="N425" s="9"/>
      <c r="O425" s="9" t="str">
        <f t="shared" si="55"/>
        <v/>
      </c>
      <c r="P425" s="9"/>
      <c r="Q425" s="9" t="str">
        <f>IF($A425="","",IF($O425="", "", ROUND($O425*Settings!$B$2+Settings!$B$3,2)))</f>
        <v/>
      </c>
      <c r="R425" s="9" t="str">
        <f>IF($A425="","",IF($L425="", "", Settings!$B$4))</f>
        <v/>
      </c>
      <c r="S425" s="9" t="str">
        <f t="shared" si="56"/>
        <v/>
      </c>
      <c r="T425" s="9" t="str">
        <f t="shared" si="57"/>
        <v/>
      </c>
      <c r="U425" s="9" t="str">
        <f>IF($A425="","",IF($K425="", "", ROUND((($K425 + Settings!$B$3 + $R425) - IF($M425="",0,$M425))/(1-Settings!$B$2),2)))</f>
        <v/>
      </c>
      <c r="V425" s="9" t="str">
        <f>IF($A425="","",$L425-($L425*Settings!$B$2)-$J425-($B425+SUM($D425:$I425)))</f>
        <v/>
      </c>
      <c r="W425" s="9" t="str">
        <f>IF($A425="","",(($B425+SUM($D425:$I425)+$J425+Settings!$B$3)/(1-Settings!$B$2))-$M425)</f>
        <v/>
      </c>
      <c r="X425" s="10" t="str">
        <f t="shared" si="58"/>
        <v/>
      </c>
      <c r="Y425" s="10" t="str">
        <f t="shared" si="59"/>
        <v/>
      </c>
      <c r="Z425" s="10" t="str">
        <f t="shared" si="60"/>
        <v/>
      </c>
      <c r="AA425" s="10" t="str">
        <f t="shared" si="61"/>
        <v/>
      </c>
      <c r="AC425" s="11"/>
      <c r="AD425" s="11"/>
      <c r="AE425" s="12" t="str">
        <f t="shared" si="62"/>
        <v/>
      </c>
    </row>
    <row r="426" spans="2:31" x14ac:dyDescent="0.25">
      <c r="B426" s="9"/>
      <c r="C426" t="s">
        <v>31</v>
      </c>
      <c r="D426" s="9" t="str">
        <f>IF($A426="","",1*'Material Costs'!$D$3)</f>
        <v/>
      </c>
      <c r="E426" s="9" t="str">
        <f>IF($A426="","",1*'Material Costs'!$D$2)</f>
        <v/>
      </c>
      <c r="F426" s="9" t="str">
        <f>IF($A426="","",IF($C426="Bubble Mailer",2,1)*'Material Costs'!$D$6)</f>
        <v/>
      </c>
      <c r="G426" s="9" t="str">
        <f>IF($A426="","",1*'Material Costs'!$D$7)</f>
        <v/>
      </c>
      <c r="H426" s="9" t="str">
        <f>IF($A426="","",IF($C426="Bubble Mailer",1,0)*'Material Costs'!$D$5)</f>
        <v/>
      </c>
      <c r="I426" s="9" t="str">
        <f>IF($A426="","",IF($C426="ESE (Ding Defend)",1,0)*'Material Costs'!$D$4)</f>
        <v/>
      </c>
      <c r="J426" s="9"/>
      <c r="K426" s="9" t="str">
        <f t="shared" si="54"/>
        <v/>
      </c>
      <c r="L426" s="9"/>
      <c r="M426" s="9"/>
      <c r="N426" s="9"/>
      <c r="O426" s="9" t="str">
        <f t="shared" si="55"/>
        <v/>
      </c>
      <c r="P426" s="9"/>
      <c r="Q426" s="9" t="str">
        <f>IF($A426="","",IF($O426="", "", ROUND($O426*Settings!$B$2+Settings!$B$3,2)))</f>
        <v/>
      </c>
      <c r="R426" s="9" t="str">
        <f>IF($A426="","",IF($L426="", "", Settings!$B$4))</f>
        <v/>
      </c>
      <c r="S426" s="9" t="str">
        <f t="shared" si="56"/>
        <v/>
      </c>
      <c r="T426" s="9" t="str">
        <f t="shared" si="57"/>
        <v/>
      </c>
      <c r="U426" s="9" t="str">
        <f>IF($A426="","",IF($K426="", "", ROUND((($K426 + Settings!$B$3 + $R426) - IF($M426="",0,$M426))/(1-Settings!$B$2),2)))</f>
        <v/>
      </c>
      <c r="V426" s="9" t="str">
        <f>IF($A426="","",$L426-($L426*Settings!$B$2)-$J426-($B426+SUM($D426:$I426)))</f>
        <v/>
      </c>
      <c r="W426" s="9" t="str">
        <f>IF($A426="","",(($B426+SUM($D426:$I426)+$J426+Settings!$B$3)/(1-Settings!$B$2))-$M426)</f>
        <v/>
      </c>
      <c r="X426" s="10" t="str">
        <f t="shared" si="58"/>
        <v/>
      </c>
      <c r="Y426" s="10" t="str">
        <f t="shared" si="59"/>
        <v/>
      </c>
      <c r="Z426" s="10" t="str">
        <f t="shared" si="60"/>
        <v/>
      </c>
      <c r="AA426" s="10" t="str">
        <f t="shared" si="61"/>
        <v/>
      </c>
      <c r="AC426" s="11"/>
      <c r="AD426" s="11"/>
      <c r="AE426" s="12" t="str">
        <f t="shared" si="62"/>
        <v/>
      </c>
    </row>
    <row r="427" spans="2:31" x14ac:dyDescent="0.25">
      <c r="B427" s="9"/>
      <c r="C427" t="s">
        <v>31</v>
      </c>
      <c r="D427" s="9" t="str">
        <f>IF($A427="","",1*'Material Costs'!$D$3)</f>
        <v/>
      </c>
      <c r="E427" s="9" t="str">
        <f>IF($A427="","",1*'Material Costs'!$D$2)</f>
        <v/>
      </c>
      <c r="F427" s="9" t="str">
        <f>IF($A427="","",IF($C427="Bubble Mailer",2,1)*'Material Costs'!$D$6)</f>
        <v/>
      </c>
      <c r="G427" s="9" t="str">
        <f>IF($A427="","",1*'Material Costs'!$D$7)</f>
        <v/>
      </c>
      <c r="H427" s="9" t="str">
        <f>IF($A427="","",IF($C427="Bubble Mailer",1,0)*'Material Costs'!$D$5)</f>
        <v/>
      </c>
      <c r="I427" s="9" t="str">
        <f>IF($A427="","",IF($C427="ESE (Ding Defend)",1,0)*'Material Costs'!$D$4)</f>
        <v/>
      </c>
      <c r="J427" s="9"/>
      <c r="K427" s="9" t="str">
        <f t="shared" si="54"/>
        <v/>
      </c>
      <c r="L427" s="9"/>
      <c r="M427" s="9"/>
      <c r="N427" s="9"/>
      <c r="O427" s="9" t="str">
        <f t="shared" si="55"/>
        <v/>
      </c>
      <c r="P427" s="9"/>
      <c r="Q427" s="9" t="str">
        <f>IF($A427="","",IF($O427="", "", ROUND($O427*Settings!$B$2+Settings!$B$3,2)))</f>
        <v/>
      </c>
      <c r="R427" s="9" t="str">
        <f>IF($A427="","",IF($L427="", "", Settings!$B$4))</f>
        <v/>
      </c>
      <c r="S427" s="9" t="str">
        <f t="shared" si="56"/>
        <v/>
      </c>
      <c r="T427" s="9" t="str">
        <f t="shared" si="57"/>
        <v/>
      </c>
      <c r="U427" s="9" t="str">
        <f>IF($A427="","",IF($K427="", "", ROUND((($K427 + Settings!$B$3 + $R427) - IF($M427="",0,$M427))/(1-Settings!$B$2),2)))</f>
        <v/>
      </c>
      <c r="V427" s="9" t="str">
        <f>IF($A427="","",$L427-($L427*Settings!$B$2)-$J427-($B427+SUM($D427:$I427)))</f>
        <v/>
      </c>
      <c r="W427" s="9" t="str">
        <f>IF($A427="","",(($B427+SUM($D427:$I427)+$J427+Settings!$B$3)/(1-Settings!$B$2))-$M427)</f>
        <v/>
      </c>
      <c r="X427" s="10" t="str">
        <f t="shared" si="58"/>
        <v/>
      </c>
      <c r="Y427" s="10" t="str">
        <f t="shared" si="59"/>
        <v/>
      </c>
      <c r="Z427" s="10" t="str">
        <f t="shared" si="60"/>
        <v/>
      </c>
      <c r="AA427" s="10" t="str">
        <f t="shared" si="61"/>
        <v/>
      </c>
      <c r="AC427" s="11"/>
      <c r="AD427" s="11"/>
      <c r="AE427" s="12" t="str">
        <f t="shared" si="62"/>
        <v/>
      </c>
    </row>
    <row r="428" spans="2:31" x14ac:dyDescent="0.25">
      <c r="B428" s="9"/>
      <c r="C428" t="s">
        <v>31</v>
      </c>
      <c r="D428" s="9" t="str">
        <f>IF($A428="","",1*'Material Costs'!$D$3)</f>
        <v/>
      </c>
      <c r="E428" s="9" t="str">
        <f>IF($A428="","",1*'Material Costs'!$D$2)</f>
        <v/>
      </c>
      <c r="F428" s="9" t="str">
        <f>IF($A428="","",IF($C428="Bubble Mailer",2,1)*'Material Costs'!$D$6)</f>
        <v/>
      </c>
      <c r="G428" s="9" t="str">
        <f>IF($A428="","",1*'Material Costs'!$D$7)</f>
        <v/>
      </c>
      <c r="H428" s="9" t="str">
        <f>IF($A428="","",IF($C428="Bubble Mailer",1,0)*'Material Costs'!$D$5)</f>
        <v/>
      </c>
      <c r="I428" s="9" t="str">
        <f>IF($A428="","",IF($C428="ESE (Ding Defend)",1,0)*'Material Costs'!$D$4)</f>
        <v/>
      </c>
      <c r="J428" s="9"/>
      <c r="K428" s="9" t="str">
        <f t="shared" si="54"/>
        <v/>
      </c>
      <c r="L428" s="9"/>
      <c r="M428" s="9"/>
      <c r="N428" s="9"/>
      <c r="O428" s="9" t="str">
        <f t="shared" si="55"/>
        <v/>
      </c>
      <c r="P428" s="9"/>
      <c r="Q428" s="9" t="str">
        <f>IF($A428="","",IF($O428="", "", ROUND($O428*Settings!$B$2+Settings!$B$3,2)))</f>
        <v/>
      </c>
      <c r="R428" s="9" t="str">
        <f>IF($A428="","",IF($L428="", "", Settings!$B$4))</f>
        <v/>
      </c>
      <c r="S428" s="9" t="str">
        <f t="shared" si="56"/>
        <v/>
      </c>
      <c r="T428" s="9" t="str">
        <f t="shared" si="57"/>
        <v/>
      </c>
      <c r="U428" s="9" t="str">
        <f>IF($A428="","",IF($K428="", "", ROUND((($K428 + Settings!$B$3 + $R428) - IF($M428="",0,$M428))/(1-Settings!$B$2),2)))</f>
        <v/>
      </c>
      <c r="V428" s="9" t="str">
        <f>IF($A428="","",$L428-($L428*Settings!$B$2)-$J428-($B428+SUM($D428:$I428)))</f>
        <v/>
      </c>
      <c r="W428" s="9" t="str">
        <f>IF($A428="","",(($B428+SUM($D428:$I428)+$J428+Settings!$B$3)/(1-Settings!$B$2))-$M428)</f>
        <v/>
      </c>
      <c r="X428" s="10" t="str">
        <f t="shared" si="58"/>
        <v/>
      </c>
      <c r="Y428" s="10" t="str">
        <f t="shared" si="59"/>
        <v/>
      </c>
      <c r="Z428" s="10" t="str">
        <f t="shared" si="60"/>
        <v/>
      </c>
      <c r="AA428" s="10" t="str">
        <f t="shared" si="61"/>
        <v/>
      </c>
      <c r="AC428" s="11"/>
      <c r="AD428" s="11"/>
      <c r="AE428" s="12" t="str">
        <f t="shared" si="62"/>
        <v/>
      </c>
    </row>
    <row r="429" spans="2:31" x14ac:dyDescent="0.25">
      <c r="B429" s="9"/>
      <c r="C429" t="s">
        <v>31</v>
      </c>
      <c r="D429" s="9" t="str">
        <f>IF($A429="","",1*'Material Costs'!$D$3)</f>
        <v/>
      </c>
      <c r="E429" s="9" t="str">
        <f>IF($A429="","",1*'Material Costs'!$D$2)</f>
        <v/>
      </c>
      <c r="F429" s="9" t="str">
        <f>IF($A429="","",IF($C429="Bubble Mailer",2,1)*'Material Costs'!$D$6)</f>
        <v/>
      </c>
      <c r="G429" s="9" t="str">
        <f>IF($A429="","",1*'Material Costs'!$D$7)</f>
        <v/>
      </c>
      <c r="H429" s="9" t="str">
        <f>IF($A429="","",IF($C429="Bubble Mailer",1,0)*'Material Costs'!$D$5)</f>
        <v/>
      </c>
      <c r="I429" s="9" t="str">
        <f>IF($A429="","",IF($C429="ESE (Ding Defend)",1,0)*'Material Costs'!$D$4)</f>
        <v/>
      </c>
      <c r="J429" s="9"/>
      <c r="K429" s="9" t="str">
        <f t="shared" si="54"/>
        <v/>
      </c>
      <c r="L429" s="9"/>
      <c r="M429" s="9"/>
      <c r="N429" s="9"/>
      <c r="O429" s="9" t="str">
        <f t="shared" si="55"/>
        <v/>
      </c>
      <c r="P429" s="9"/>
      <c r="Q429" s="9" t="str">
        <f>IF($A429="","",IF($O429="", "", ROUND($O429*Settings!$B$2+Settings!$B$3,2)))</f>
        <v/>
      </c>
      <c r="R429" s="9" t="str">
        <f>IF($A429="","",IF($L429="", "", Settings!$B$4))</f>
        <v/>
      </c>
      <c r="S429" s="9" t="str">
        <f t="shared" si="56"/>
        <v/>
      </c>
      <c r="T429" s="9" t="str">
        <f t="shared" si="57"/>
        <v/>
      </c>
      <c r="U429" s="9" t="str">
        <f>IF($A429="","",IF($K429="", "", ROUND((($K429 + Settings!$B$3 + $R429) - IF($M429="",0,$M429))/(1-Settings!$B$2),2)))</f>
        <v/>
      </c>
      <c r="V429" s="9" t="str">
        <f>IF($A429="","",$L429-($L429*Settings!$B$2)-$J429-($B429+SUM($D429:$I429)))</f>
        <v/>
      </c>
      <c r="W429" s="9" t="str">
        <f>IF($A429="","",(($B429+SUM($D429:$I429)+$J429+Settings!$B$3)/(1-Settings!$B$2))-$M429)</f>
        <v/>
      </c>
      <c r="X429" s="10" t="str">
        <f t="shared" si="58"/>
        <v/>
      </c>
      <c r="Y429" s="10" t="str">
        <f t="shared" si="59"/>
        <v/>
      </c>
      <c r="Z429" s="10" t="str">
        <f t="shared" si="60"/>
        <v/>
      </c>
      <c r="AA429" s="10" t="str">
        <f t="shared" si="61"/>
        <v/>
      </c>
      <c r="AC429" s="11"/>
      <c r="AD429" s="11"/>
      <c r="AE429" s="12" t="str">
        <f t="shared" si="62"/>
        <v/>
      </c>
    </row>
    <row r="430" spans="2:31" x14ac:dyDescent="0.25">
      <c r="B430" s="9"/>
      <c r="C430" t="s">
        <v>31</v>
      </c>
      <c r="D430" s="9" t="str">
        <f>IF($A430="","",1*'Material Costs'!$D$3)</f>
        <v/>
      </c>
      <c r="E430" s="9" t="str">
        <f>IF($A430="","",1*'Material Costs'!$D$2)</f>
        <v/>
      </c>
      <c r="F430" s="9" t="str">
        <f>IF($A430="","",IF($C430="Bubble Mailer",2,1)*'Material Costs'!$D$6)</f>
        <v/>
      </c>
      <c r="G430" s="9" t="str">
        <f>IF($A430="","",1*'Material Costs'!$D$7)</f>
        <v/>
      </c>
      <c r="H430" s="9" t="str">
        <f>IF($A430="","",IF($C430="Bubble Mailer",1,0)*'Material Costs'!$D$5)</f>
        <v/>
      </c>
      <c r="I430" s="9" t="str">
        <f>IF($A430="","",IF($C430="ESE (Ding Defend)",1,0)*'Material Costs'!$D$4)</f>
        <v/>
      </c>
      <c r="J430" s="9"/>
      <c r="K430" s="9" t="str">
        <f t="shared" si="54"/>
        <v/>
      </c>
      <c r="L430" s="9"/>
      <c r="M430" s="9"/>
      <c r="N430" s="9"/>
      <c r="O430" s="9" t="str">
        <f t="shared" si="55"/>
        <v/>
      </c>
      <c r="P430" s="9"/>
      <c r="Q430" s="9" t="str">
        <f>IF($A430="","",IF($O430="", "", ROUND($O430*Settings!$B$2+Settings!$B$3,2)))</f>
        <v/>
      </c>
      <c r="R430" s="9" t="str">
        <f>IF($A430="","",IF($L430="", "", Settings!$B$4))</f>
        <v/>
      </c>
      <c r="S430" s="9" t="str">
        <f t="shared" si="56"/>
        <v/>
      </c>
      <c r="T430" s="9" t="str">
        <f t="shared" si="57"/>
        <v/>
      </c>
      <c r="U430" s="9" t="str">
        <f>IF($A430="","",IF($K430="", "", ROUND((($K430 + Settings!$B$3 + $R430) - IF($M430="",0,$M430))/(1-Settings!$B$2),2)))</f>
        <v/>
      </c>
      <c r="V430" s="9" t="str">
        <f>IF($A430="","",$L430-($L430*Settings!$B$2)-$J430-($B430+SUM($D430:$I430)))</f>
        <v/>
      </c>
      <c r="W430" s="9" t="str">
        <f>IF($A430="","",(($B430+SUM($D430:$I430)+$J430+Settings!$B$3)/(1-Settings!$B$2))-$M430)</f>
        <v/>
      </c>
      <c r="X430" s="10" t="str">
        <f t="shared" si="58"/>
        <v/>
      </c>
      <c r="Y430" s="10" t="str">
        <f t="shared" si="59"/>
        <v/>
      </c>
      <c r="Z430" s="10" t="str">
        <f t="shared" si="60"/>
        <v/>
      </c>
      <c r="AA430" s="10" t="str">
        <f t="shared" si="61"/>
        <v/>
      </c>
      <c r="AC430" s="11"/>
      <c r="AD430" s="11"/>
      <c r="AE430" s="12" t="str">
        <f t="shared" si="62"/>
        <v/>
      </c>
    </row>
    <row r="431" spans="2:31" x14ac:dyDescent="0.25">
      <c r="B431" s="9"/>
      <c r="C431" t="s">
        <v>31</v>
      </c>
      <c r="D431" s="9" t="str">
        <f>IF($A431="","",1*'Material Costs'!$D$3)</f>
        <v/>
      </c>
      <c r="E431" s="9" t="str">
        <f>IF($A431="","",1*'Material Costs'!$D$2)</f>
        <v/>
      </c>
      <c r="F431" s="9" t="str">
        <f>IF($A431="","",IF($C431="Bubble Mailer",2,1)*'Material Costs'!$D$6)</f>
        <v/>
      </c>
      <c r="G431" s="9" t="str">
        <f>IF($A431="","",1*'Material Costs'!$D$7)</f>
        <v/>
      </c>
      <c r="H431" s="9" t="str">
        <f>IF($A431="","",IF($C431="Bubble Mailer",1,0)*'Material Costs'!$D$5)</f>
        <v/>
      </c>
      <c r="I431" s="9" t="str">
        <f>IF($A431="","",IF($C431="ESE (Ding Defend)",1,0)*'Material Costs'!$D$4)</f>
        <v/>
      </c>
      <c r="J431" s="9"/>
      <c r="K431" s="9" t="str">
        <f t="shared" si="54"/>
        <v/>
      </c>
      <c r="L431" s="9"/>
      <c r="M431" s="9"/>
      <c r="N431" s="9"/>
      <c r="O431" s="9" t="str">
        <f t="shared" si="55"/>
        <v/>
      </c>
      <c r="P431" s="9"/>
      <c r="Q431" s="9" t="str">
        <f>IF($A431="","",IF($O431="", "", ROUND($O431*Settings!$B$2+Settings!$B$3,2)))</f>
        <v/>
      </c>
      <c r="R431" s="9" t="str">
        <f>IF($A431="","",IF($L431="", "", Settings!$B$4))</f>
        <v/>
      </c>
      <c r="S431" s="9" t="str">
        <f t="shared" si="56"/>
        <v/>
      </c>
      <c r="T431" s="9" t="str">
        <f t="shared" si="57"/>
        <v/>
      </c>
      <c r="U431" s="9" t="str">
        <f>IF($A431="","",IF($K431="", "", ROUND((($K431 + Settings!$B$3 + $R431) - IF($M431="",0,$M431))/(1-Settings!$B$2),2)))</f>
        <v/>
      </c>
      <c r="V431" s="9" t="str">
        <f>IF($A431="","",$L431-($L431*Settings!$B$2)-$J431-($B431+SUM($D431:$I431)))</f>
        <v/>
      </c>
      <c r="W431" s="9" t="str">
        <f>IF($A431="","",(($B431+SUM($D431:$I431)+$J431+Settings!$B$3)/(1-Settings!$B$2))-$M431)</f>
        <v/>
      </c>
      <c r="X431" s="10" t="str">
        <f t="shared" si="58"/>
        <v/>
      </c>
      <c r="Y431" s="10" t="str">
        <f t="shared" si="59"/>
        <v/>
      </c>
      <c r="Z431" s="10" t="str">
        <f t="shared" si="60"/>
        <v/>
      </c>
      <c r="AA431" s="10" t="str">
        <f t="shared" si="61"/>
        <v/>
      </c>
      <c r="AC431" s="11"/>
      <c r="AD431" s="11"/>
      <c r="AE431" s="12" t="str">
        <f t="shared" si="62"/>
        <v/>
      </c>
    </row>
    <row r="432" spans="2:31" x14ac:dyDescent="0.25">
      <c r="B432" s="9"/>
      <c r="C432" t="s">
        <v>31</v>
      </c>
      <c r="D432" s="9" t="str">
        <f>IF($A432="","",1*'Material Costs'!$D$3)</f>
        <v/>
      </c>
      <c r="E432" s="9" t="str">
        <f>IF($A432="","",1*'Material Costs'!$D$2)</f>
        <v/>
      </c>
      <c r="F432" s="9" t="str">
        <f>IF($A432="","",IF($C432="Bubble Mailer",2,1)*'Material Costs'!$D$6)</f>
        <v/>
      </c>
      <c r="G432" s="9" t="str">
        <f>IF($A432="","",1*'Material Costs'!$D$7)</f>
        <v/>
      </c>
      <c r="H432" s="9" t="str">
        <f>IF($A432="","",IF($C432="Bubble Mailer",1,0)*'Material Costs'!$D$5)</f>
        <v/>
      </c>
      <c r="I432" s="9" t="str">
        <f>IF($A432="","",IF($C432="ESE (Ding Defend)",1,0)*'Material Costs'!$D$4)</f>
        <v/>
      </c>
      <c r="J432" s="9"/>
      <c r="K432" s="9" t="str">
        <f t="shared" si="54"/>
        <v/>
      </c>
      <c r="L432" s="9"/>
      <c r="M432" s="9"/>
      <c r="N432" s="9"/>
      <c r="O432" s="9" t="str">
        <f t="shared" si="55"/>
        <v/>
      </c>
      <c r="P432" s="9"/>
      <c r="Q432" s="9" t="str">
        <f>IF($A432="","",IF($O432="", "", ROUND($O432*Settings!$B$2+Settings!$B$3,2)))</f>
        <v/>
      </c>
      <c r="R432" s="9" t="str">
        <f>IF($A432="","",IF($L432="", "", Settings!$B$4))</f>
        <v/>
      </c>
      <c r="S432" s="9" t="str">
        <f t="shared" si="56"/>
        <v/>
      </c>
      <c r="T432" s="9" t="str">
        <f t="shared" si="57"/>
        <v/>
      </c>
      <c r="U432" s="9" t="str">
        <f>IF($A432="","",IF($K432="", "", ROUND((($K432 + Settings!$B$3 + $R432) - IF($M432="",0,$M432))/(1-Settings!$B$2),2)))</f>
        <v/>
      </c>
      <c r="V432" s="9" t="str">
        <f>IF($A432="","",$L432-($L432*Settings!$B$2)-$J432-($B432+SUM($D432:$I432)))</f>
        <v/>
      </c>
      <c r="W432" s="9" t="str">
        <f>IF($A432="","",(($B432+SUM($D432:$I432)+$J432+Settings!$B$3)/(1-Settings!$B$2))-$M432)</f>
        <v/>
      </c>
      <c r="X432" s="10" t="str">
        <f t="shared" si="58"/>
        <v/>
      </c>
      <c r="Y432" s="10" t="str">
        <f t="shared" si="59"/>
        <v/>
      </c>
      <c r="Z432" s="10" t="str">
        <f t="shared" si="60"/>
        <v/>
      </c>
      <c r="AA432" s="10" t="str">
        <f t="shared" si="61"/>
        <v/>
      </c>
      <c r="AC432" s="11"/>
      <c r="AD432" s="11"/>
      <c r="AE432" s="12" t="str">
        <f t="shared" si="62"/>
        <v/>
      </c>
    </row>
    <row r="433" spans="2:31" x14ac:dyDescent="0.25">
      <c r="B433" s="9"/>
      <c r="C433" t="s">
        <v>31</v>
      </c>
      <c r="D433" s="9" t="str">
        <f>IF($A433="","",1*'Material Costs'!$D$3)</f>
        <v/>
      </c>
      <c r="E433" s="9" t="str">
        <f>IF($A433="","",1*'Material Costs'!$D$2)</f>
        <v/>
      </c>
      <c r="F433" s="9" t="str">
        <f>IF($A433="","",IF($C433="Bubble Mailer",2,1)*'Material Costs'!$D$6)</f>
        <v/>
      </c>
      <c r="G433" s="9" t="str">
        <f>IF($A433="","",1*'Material Costs'!$D$7)</f>
        <v/>
      </c>
      <c r="H433" s="9" t="str">
        <f>IF($A433="","",IF($C433="Bubble Mailer",1,0)*'Material Costs'!$D$5)</f>
        <v/>
      </c>
      <c r="I433" s="9" t="str">
        <f>IF($A433="","",IF($C433="ESE (Ding Defend)",1,0)*'Material Costs'!$D$4)</f>
        <v/>
      </c>
      <c r="J433" s="9"/>
      <c r="K433" s="9" t="str">
        <f t="shared" si="54"/>
        <v/>
      </c>
      <c r="L433" s="9"/>
      <c r="M433" s="9"/>
      <c r="N433" s="9"/>
      <c r="O433" s="9" t="str">
        <f t="shared" si="55"/>
        <v/>
      </c>
      <c r="P433" s="9"/>
      <c r="Q433" s="9" t="str">
        <f>IF($A433="","",IF($O433="", "", ROUND($O433*Settings!$B$2+Settings!$B$3,2)))</f>
        <v/>
      </c>
      <c r="R433" s="9" t="str">
        <f>IF($A433="","",IF($L433="", "", Settings!$B$4))</f>
        <v/>
      </c>
      <c r="S433" s="9" t="str">
        <f t="shared" si="56"/>
        <v/>
      </c>
      <c r="T433" s="9" t="str">
        <f t="shared" si="57"/>
        <v/>
      </c>
      <c r="U433" s="9" t="str">
        <f>IF($A433="","",IF($K433="", "", ROUND((($K433 + Settings!$B$3 + $R433) - IF($M433="",0,$M433))/(1-Settings!$B$2),2)))</f>
        <v/>
      </c>
      <c r="V433" s="9" t="str">
        <f>IF($A433="","",$L433-($L433*Settings!$B$2)-$J433-($B433+SUM($D433:$I433)))</f>
        <v/>
      </c>
      <c r="W433" s="9" t="str">
        <f>IF($A433="","",(($B433+SUM($D433:$I433)+$J433+Settings!$B$3)/(1-Settings!$B$2))-$M433)</f>
        <v/>
      </c>
      <c r="X433" s="10" t="str">
        <f t="shared" si="58"/>
        <v/>
      </c>
      <c r="Y433" s="10" t="str">
        <f t="shared" si="59"/>
        <v/>
      </c>
      <c r="Z433" s="10" t="str">
        <f t="shared" si="60"/>
        <v/>
      </c>
      <c r="AA433" s="10" t="str">
        <f t="shared" si="61"/>
        <v/>
      </c>
      <c r="AC433" s="11"/>
      <c r="AD433" s="11"/>
      <c r="AE433" s="12" t="str">
        <f t="shared" si="62"/>
        <v/>
      </c>
    </row>
    <row r="434" spans="2:31" x14ac:dyDescent="0.25">
      <c r="B434" s="9"/>
      <c r="C434" t="s">
        <v>31</v>
      </c>
      <c r="D434" s="9" t="str">
        <f>IF($A434="","",1*'Material Costs'!$D$3)</f>
        <v/>
      </c>
      <c r="E434" s="9" t="str">
        <f>IF($A434="","",1*'Material Costs'!$D$2)</f>
        <v/>
      </c>
      <c r="F434" s="9" t="str">
        <f>IF($A434="","",IF($C434="Bubble Mailer",2,1)*'Material Costs'!$D$6)</f>
        <v/>
      </c>
      <c r="G434" s="9" t="str">
        <f>IF($A434="","",1*'Material Costs'!$D$7)</f>
        <v/>
      </c>
      <c r="H434" s="9" t="str">
        <f>IF($A434="","",IF($C434="Bubble Mailer",1,0)*'Material Costs'!$D$5)</f>
        <v/>
      </c>
      <c r="I434" s="9" t="str">
        <f>IF($A434="","",IF($C434="ESE (Ding Defend)",1,0)*'Material Costs'!$D$4)</f>
        <v/>
      </c>
      <c r="J434" s="9"/>
      <c r="K434" s="9" t="str">
        <f t="shared" si="54"/>
        <v/>
      </c>
      <c r="L434" s="9"/>
      <c r="M434" s="9"/>
      <c r="N434" s="9"/>
      <c r="O434" s="9" t="str">
        <f t="shared" si="55"/>
        <v/>
      </c>
      <c r="P434" s="9"/>
      <c r="Q434" s="9" t="str">
        <f>IF($A434="","",IF($O434="", "", ROUND($O434*Settings!$B$2+Settings!$B$3,2)))</f>
        <v/>
      </c>
      <c r="R434" s="9" t="str">
        <f>IF($A434="","",IF($L434="", "", Settings!$B$4))</f>
        <v/>
      </c>
      <c r="S434" s="9" t="str">
        <f t="shared" si="56"/>
        <v/>
      </c>
      <c r="T434" s="9" t="str">
        <f t="shared" si="57"/>
        <v/>
      </c>
      <c r="U434" s="9" t="str">
        <f>IF($A434="","",IF($K434="", "", ROUND((($K434 + Settings!$B$3 + $R434) - IF($M434="",0,$M434))/(1-Settings!$B$2),2)))</f>
        <v/>
      </c>
      <c r="V434" s="9" t="str">
        <f>IF($A434="","",$L434-($L434*Settings!$B$2)-$J434-($B434+SUM($D434:$I434)))</f>
        <v/>
      </c>
      <c r="W434" s="9" t="str">
        <f>IF($A434="","",(($B434+SUM($D434:$I434)+$J434+Settings!$B$3)/(1-Settings!$B$2))-$M434)</f>
        <v/>
      </c>
      <c r="X434" s="10" t="str">
        <f t="shared" si="58"/>
        <v/>
      </c>
      <c r="Y434" s="10" t="str">
        <f t="shared" si="59"/>
        <v/>
      </c>
      <c r="Z434" s="10" t="str">
        <f t="shared" si="60"/>
        <v/>
      </c>
      <c r="AA434" s="10" t="str">
        <f t="shared" si="61"/>
        <v/>
      </c>
      <c r="AC434" s="11"/>
      <c r="AD434" s="11"/>
      <c r="AE434" s="12" t="str">
        <f t="shared" si="62"/>
        <v/>
      </c>
    </row>
    <row r="435" spans="2:31" x14ac:dyDescent="0.25">
      <c r="B435" s="9"/>
      <c r="C435" t="s">
        <v>31</v>
      </c>
      <c r="D435" s="9" t="str">
        <f>IF($A435="","",1*'Material Costs'!$D$3)</f>
        <v/>
      </c>
      <c r="E435" s="9" t="str">
        <f>IF($A435="","",1*'Material Costs'!$D$2)</f>
        <v/>
      </c>
      <c r="F435" s="9" t="str">
        <f>IF($A435="","",IF($C435="Bubble Mailer",2,1)*'Material Costs'!$D$6)</f>
        <v/>
      </c>
      <c r="G435" s="9" t="str">
        <f>IF($A435="","",1*'Material Costs'!$D$7)</f>
        <v/>
      </c>
      <c r="H435" s="9" t="str">
        <f>IF($A435="","",IF($C435="Bubble Mailer",1,0)*'Material Costs'!$D$5)</f>
        <v/>
      </c>
      <c r="I435" s="9" t="str">
        <f>IF($A435="","",IF($C435="ESE (Ding Defend)",1,0)*'Material Costs'!$D$4)</f>
        <v/>
      </c>
      <c r="J435" s="9"/>
      <c r="K435" s="9" t="str">
        <f t="shared" si="54"/>
        <v/>
      </c>
      <c r="L435" s="9"/>
      <c r="M435" s="9"/>
      <c r="N435" s="9"/>
      <c r="O435" s="9" t="str">
        <f t="shared" si="55"/>
        <v/>
      </c>
      <c r="P435" s="9"/>
      <c r="Q435" s="9" t="str">
        <f>IF($A435="","",IF($O435="", "", ROUND($O435*Settings!$B$2+Settings!$B$3,2)))</f>
        <v/>
      </c>
      <c r="R435" s="9" t="str">
        <f>IF($A435="","",IF($L435="", "", Settings!$B$4))</f>
        <v/>
      </c>
      <c r="S435" s="9" t="str">
        <f t="shared" si="56"/>
        <v/>
      </c>
      <c r="T435" s="9" t="str">
        <f t="shared" si="57"/>
        <v/>
      </c>
      <c r="U435" s="9" t="str">
        <f>IF($A435="","",IF($K435="", "", ROUND((($K435 + Settings!$B$3 + $R435) - IF($M435="",0,$M435))/(1-Settings!$B$2),2)))</f>
        <v/>
      </c>
      <c r="V435" s="9" t="str">
        <f>IF($A435="","",$L435-($L435*Settings!$B$2)-$J435-($B435+SUM($D435:$I435)))</f>
        <v/>
      </c>
      <c r="W435" s="9" t="str">
        <f>IF($A435="","",(($B435+SUM($D435:$I435)+$J435+Settings!$B$3)/(1-Settings!$B$2))-$M435)</f>
        <v/>
      </c>
      <c r="X435" s="10" t="str">
        <f t="shared" si="58"/>
        <v/>
      </c>
      <c r="Y435" s="10" t="str">
        <f t="shared" si="59"/>
        <v/>
      </c>
      <c r="Z435" s="10" t="str">
        <f t="shared" si="60"/>
        <v/>
      </c>
      <c r="AA435" s="10" t="str">
        <f t="shared" si="61"/>
        <v/>
      </c>
      <c r="AC435" s="11"/>
      <c r="AD435" s="11"/>
      <c r="AE435" s="12" t="str">
        <f t="shared" si="62"/>
        <v/>
      </c>
    </row>
    <row r="436" spans="2:31" x14ac:dyDescent="0.25">
      <c r="B436" s="9"/>
      <c r="C436" t="s">
        <v>31</v>
      </c>
      <c r="D436" s="9" t="str">
        <f>IF($A436="","",1*'Material Costs'!$D$3)</f>
        <v/>
      </c>
      <c r="E436" s="9" t="str">
        <f>IF($A436="","",1*'Material Costs'!$D$2)</f>
        <v/>
      </c>
      <c r="F436" s="9" t="str">
        <f>IF($A436="","",IF($C436="Bubble Mailer",2,1)*'Material Costs'!$D$6)</f>
        <v/>
      </c>
      <c r="G436" s="9" t="str">
        <f>IF($A436="","",1*'Material Costs'!$D$7)</f>
        <v/>
      </c>
      <c r="H436" s="9" t="str">
        <f>IF($A436="","",IF($C436="Bubble Mailer",1,0)*'Material Costs'!$D$5)</f>
        <v/>
      </c>
      <c r="I436" s="9" t="str">
        <f>IF($A436="","",IF($C436="ESE (Ding Defend)",1,0)*'Material Costs'!$D$4)</f>
        <v/>
      </c>
      <c r="J436" s="9"/>
      <c r="K436" s="9" t="str">
        <f t="shared" si="54"/>
        <v/>
      </c>
      <c r="L436" s="9"/>
      <c r="M436" s="9"/>
      <c r="N436" s="9"/>
      <c r="O436" s="9" t="str">
        <f t="shared" si="55"/>
        <v/>
      </c>
      <c r="P436" s="9"/>
      <c r="Q436" s="9" t="str">
        <f>IF($A436="","",IF($O436="", "", ROUND($O436*Settings!$B$2+Settings!$B$3,2)))</f>
        <v/>
      </c>
      <c r="R436" s="9" t="str">
        <f>IF($A436="","",IF($L436="", "", Settings!$B$4))</f>
        <v/>
      </c>
      <c r="S436" s="9" t="str">
        <f t="shared" si="56"/>
        <v/>
      </c>
      <c r="T436" s="9" t="str">
        <f t="shared" si="57"/>
        <v/>
      </c>
      <c r="U436" s="9" t="str">
        <f>IF($A436="","",IF($K436="", "", ROUND((($K436 + Settings!$B$3 + $R436) - IF($M436="",0,$M436))/(1-Settings!$B$2),2)))</f>
        <v/>
      </c>
      <c r="V436" s="9" t="str">
        <f>IF($A436="","",$L436-($L436*Settings!$B$2)-$J436-($B436+SUM($D436:$I436)))</f>
        <v/>
      </c>
      <c r="W436" s="9" t="str">
        <f>IF($A436="","",(($B436+SUM($D436:$I436)+$J436+Settings!$B$3)/(1-Settings!$B$2))-$M436)</f>
        <v/>
      </c>
      <c r="X436" s="10" t="str">
        <f t="shared" si="58"/>
        <v/>
      </c>
      <c r="Y436" s="10" t="str">
        <f t="shared" si="59"/>
        <v/>
      </c>
      <c r="Z436" s="10" t="str">
        <f t="shared" si="60"/>
        <v/>
      </c>
      <c r="AA436" s="10" t="str">
        <f t="shared" si="61"/>
        <v/>
      </c>
      <c r="AC436" s="11"/>
      <c r="AD436" s="11"/>
      <c r="AE436" s="12" t="str">
        <f t="shared" si="62"/>
        <v/>
      </c>
    </row>
    <row r="437" spans="2:31" x14ac:dyDescent="0.25">
      <c r="B437" s="9"/>
      <c r="C437" t="s">
        <v>31</v>
      </c>
      <c r="D437" s="9" t="str">
        <f>IF($A437="","",1*'Material Costs'!$D$3)</f>
        <v/>
      </c>
      <c r="E437" s="9" t="str">
        <f>IF($A437="","",1*'Material Costs'!$D$2)</f>
        <v/>
      </c>
      <c r="F437" s="9" t="str">
        <f>IF($A437="","",IF($C437="Bubble Mailer",2,1)*'Material Costs'!$D$6)</f>
        <v/>
      </c>
      <c r="G437" s="9" t="str">
        <f>IF($A437="","",1*'Material Costs'!$D$7)</f>
        <v/>
      </c>
      <c r="H437" s="9" t="str">
        <f>IF($A437="","",IF($C437="Bubble Mailer",1,0)*'Material Costs'!$D$5)</f>
        <v/>
      </c>
      <c r="I437" s="9" t="str">
        <f>IF($A437="","",IF($C437="ESE (Ding Defend)",1,0)*'Material Costs'!$D$4)</f>
        <v/>
      </c>
      <c r="J437" s="9"/>
      <c r="K437" s="9" t="str">
        <f t="shared" si="54"/>
        <v/>
      </c>
      <c r="L437" s="9"/>
      <c r="M437" s="9"/>
      <c r="N437" s="9"/>
      <c r="O437" s="9" t="str">
        <f t="shared" si="55"/>
        <v/>
      </c>
      <c r="P437" s="9"/>
      <c r="Q437" s="9" t="str">
        <f>IF($A437="","",IF($O437="", "", ROUND($O437*Settings!$B$2+Settings!$B$3,2)))</f>
        <v/>
      </c>
      <c r="R437" s="9" t="str">
        <f>IF($A437="","",IF($L437="", "", Settings!$B$4))</f>
        <v/>
      </c>
      <c r="S437" s="9" t="str">
        <f t="shared" si="56"/>
        <v/>
      </c>
      <c r="T437" s="9" t="str">
        <f t="shared" si="57"/>
        <v/>
      </c>
      <c r="U437" s="9" t="str">
        <f>IF($A437="","",IF($K437="", "", ROUND((($K437 + Settings!$B$3 + $R437) - IF($M437="",0,$M437))/(1-Settings!$B$2),2)))</f>
        <v/>
      </c>
      <c r="V437" s="9" t="str">
        <f>IF($A437="","",$L437-($L437*Settings!$B$2)-$J437-($B437+SUM($D437:$I437)))</f>
        <v/>
      </c>
      <c r="W437" s="9" t="str">
        <f>IF($A437="","",(($B437+SUM($D437:$I437)+$J437+Settings!$B$3)/(1-Settings!$B$2))-$M437)</f>
        <v/>
      </c>
      <c r="X437" s="10" t="str">
        <f t="shared" si="58"/>
        <v/>
      </c>
      <c r="Y437" s="10" t="str">
        <f t="shared" si="59"/>
        <v/>
      </c>
      <c r="Z437" s="10" t="str">
        <f t="shared" si="60"/>
        <v/>
      </c>
      <c r="AA437" s="10" t="str">
        <f t="shared" si="61"/>
        <v/>
      </c>
      <c r="AC437" s="11"/>
      <c r="AD437" s="11"/>
      <c r="AE437" s="12" t="str">
        <f t="shared" si="62"/>
        <v/>
      </c>
    </row>
    <row r="438" spans="2:31" x14ac:dyDescent="0.25">
      <c r="B438" s="9"/>
      <c r="C438" t="s">
        <v>31</v>
      </c>
      <c r="D438" s="9" t="str">
        <f>IF($A438="","",1*'Material Costs'!$D$3)</f>
        <v/>
      </c>
      <c r="E438" s="9" t="str">
        <f>IF($A438="","",1*'Material Costs'!$D$2)</f>
        <v/>
      </c>
      <c r="F438" s="9" t="str">
        <f>IF($A438="","",IF($C438="Bubble Mailer",2,1)*'Material Costs'!$D$6)</f>
        <v/>
      </c>
      <c r="G438" s="9" t="str">
        <f>IF($A438="","",1*'Material Costs'!$D$7)</f>
        <v/>
      </c>
      <c r="H438" s="9" t="str">
        <f>IF($A438="","",IF($C438="Bubble Mailer",1,0)*'Material Costs'!$D$5)</f>
        <v/>
      </c>
      <c r="I438" s="9" t="str">
        <f>IF($A438="","",IF($C438="ESE (Ding Defend)",1,0)*'Material Costs'!$D$4)</f>
        <v/>
      </c>
      <c r="J438" s="9"/>
      <c r="K438" s="9" t="str">
        <f t="shared" si="54"/>
        <v/>
      </c>
      <c r="L438" s="9"/>
      <c r="M438" s="9"/>
      <c r="N438" s="9"/>
      <c r="O438" s="9" t="str">
        <f t="shared" si="55"/>
        <v/>
      </c>
      <c r="P438" s="9"/>
      <c r="Q438" s="9" t="str">
        <f>IF($A438="","",IF($O438="", "", ROUND($O438*Settings!$B$2+Settings!$B$3,2)))</f>
        <v/>
      </c>
      <c r="R438" s="9" t="str">
        <f>IF($A438="","",IF($L438="", "", Settings!$B$4))</f>
        <v/>
      </c>
      <c r="S438" s="9" t="str">
        <f t="shared" si="56"/>
        <v/>
      </c>
      <c r="T438" s="9" t="str">
        <f t="shared" si="57"/>
        <v/>
      </c>
      <c r="U438" s="9" t="str">
        <f>IF($A438="","",IF($K438="", "", ROUND((($K438 + Settings!$B$3 + $R438) - IF($M438="",0,$M438))/(1-Settings!$B$2),2)))</f>
        <v/>
      </c>
      <c r="V438" s="9" t="str">
        <f>IF($A438="","",$L438-($L438*Settings!$B$2)-$J438-($B438+SUM($D438:$I438)))</f>
        <v/>
      </c>
      <c r="W438" s="9" t="str">
        <f>IF($A438="","",(($B438+SUM($D438:$I438)+$J438+Settings!$B$3)/(1-Settings!$B$2))-$M438)</f>
        <v/>
      </c>
      <c r="X438" s="10" t="str">
        <f t="shared" si="58"/>
        <v/>
      </c>
      <c r="Y438" s="10" t="str">
        <f t="shared" si="59"/>
        <v/>
      </c>
      <c r="Z438" s="10" t="str">
        <f t="shared" si="60"/>
        <v/>
      </c>
      <c r="AA438" s="10" t="str">
        <f t="shared" si="61"/>
        <v/>
      </c>
      <c r="AC438" s="11"/>
      <c r="AD438" s="11"/>
      <c r="AE438" s="12" t="str">
        <f t="shared" si="62"/>
        <v/>
      </c>
    </row>
    <row r="439" spans="2:31" x14ac:dyDescent="0.25">
      <c r="B439" s="9"/>
      <c r="C439" t="s">
        <v>31</v>
      </c>
      <c r="D439" s="9" t="str">
        <f>IF($A439="","",1*'Material Costs'!$D$3)</f>
        <v/>
      </c>
      <c r="E439" s="9" t="str">
        <f>IF($A439="","",1*'Material Costs'!$D$2)</f>
        <v/>
      </c>
      <c r="F439" s="9" t="str">
        <f>IF($A439="","",IF($C439="Bubble Mailer",2,1)*'Material Costs'!$D$6)</f>
        <v/>
      </c>
      <c r="G439" s="9" t="str">
        <f>IF($A439="","",1*'Material Costs'!$D$7)</f>
        <v/>
      </c>
      <c r="H439" s="9" t="str">
        <f>IF($A439="","",IF($C439="Bubble Mailer",1,0)*'Material Costs'!$D$5)</f>
        <v/>
      </c>
      <c r="I439" s="9" t="str">
        <f>IF($A439="","",IF($C439="ESE (Ding Defend)",1,0)*'Material Costs'!$D$4)</f>
        <v/>
      </c>
      <c r="J439" s="9"/>
      <c r="K439" s="9" t="str">
        <f t="shared" si="54"/>
        <v/>
      </c>
      <c r="L439" s="9"/>
      <c r="M439" s="9"/>
      <c r="N439" s="9"/>
      <c r="O439" s="9" t="str">
        <f t="shared" si="55"/>
        <v/>
      </c>
      <c r="P439" s="9"/>
      <c r="Q439" s="9" t="str">
        <f>IF($A439="","",IF($O439="", "", ROUND($O439*Settings!$B$2+Settings!$B$3,2)))</f>
        <v/>
      </c>
      <c r="R439" s="9" t="str">
        <f>IF($A439="","",IF($L439="", "", Settings!$B$4))</f>
        <v/>
      </c>
      <c r="S439" s="9" t="str">
        <f t="shared" si="56"/>
        <v/>
      </c>
      <c r="T439" s="9" t="str">
        <f t="shared" si="57"/>
        <v/>
      </c>
      <c r="U439" s="9" t="str">
        <f>IF($A439="","",IF($K439="", "", ROUND((($K439 + Settings!$B$3 + $R439) - IF($M439="",0,$M439))/(1-Settings!$B$2),2)))</f>
        <v/>
      </c>
      <c r="V439" s="9" t="str">
        <f>IF($A439="","",$L439-($L439*Settings!$B$2)-$J439-($B439+SUM($D439:$I439)))</f>
        <v/>
      </c>
      <c r="W439" s="9" t="str">
        <f>IF($A439="","",(($B439+SUM($D439:$I439)+$J439+Settings!$B$3)/(1-Settings!$B$2))-$M439)</f>
        <v/>
      </c>
      <c r="X439" s="10" t="str">
        <f t="shared" si="58"/>
        <v/>
      </c>
      <c r="Y439" s="10" t="str">
        <f t="shared" si="59"/>
        <v/>
      </c>
      <c r="Z439" s="10" t="str">
        <f t="shared" si="60"/>
        <v/>
      </c>
      <c r="AA439" s="10" t="str">
        <f t="shared" si="61"/>
        <v/>
      </c>
      <c r="AC439" s="11"/>
      <c r="AD439" s="11"/>
      <c r="AE439" s="12" t="str">
        <f t="shared" si="62"/>
        <v/>
      </c>
    </row>
    <row r="440" spans="2:31" x14ac:dyDescent="0.25">
      <c r="B440" s="9"/>
      <c r="C440" t="s">
        <v>31</v>
      </c>
      <c r="D440" s="9" t="str">
        <f>IF($A440="","",1*'Material Costs'!$D$3)</f>
        <v/>
      </c>
      <c r="E440" s="9" t="str">
        <f>IF($A440="","",1*'Material Costs'!$D$2)</f>
        <v/>
      </c>
      <c r="F440" s="9" t="str">
        <f>IF($A440="","",IF($C440="Bubble Mailer",2,1)*'Material Costs'!$D$6)</f>
        <v/>
      </c>
      <c r="G440" s="9" t="str">
        <f>IF($A440="","",1*'Material Costs'!$D$7)</f>
        <v/>
      </c>
      <c r="H440" s="9" t="str">
        <f>IF($A440="","",IF($C440="Bubble Mailer",1,0)*'Material Costs'!$D$5)</f>
        <v/>
      </c>
      <c r="I440" s="9" t="str">
        <f>IF($A440="","",IF($C440="ESE (Ding Defend)",1,0)*'Material Costs'!$D$4)</f>
        <v/>
      </c>
      <c r="J440" s="9"/>
      <c r="K440" s="9" t="str">
        <f t="shared" si="54"/>
        <v/>
      </c>
      <c r="L440" s="9"/>
      <c r="M440" s="9"/>
      <c r="N440" s="9"/>
      <c r="O440" s="9" t="str">
        <f t="shared" si="55"/>
        <v/>
      </c>
      <c r="P440" s="9"/>
      <c r="Q440" s="9" t="str">
        <f>IF($A440="","",IF($O440="", "", ROUND($O440*Settings!$B$2+Settings!$B$3,2)))</f>
        <v/>
      </c>
      <c r="R440" s="9" t="str">
        <f>IF($A440="","",IF($L440="", "", Settings!$B$4))</f>
        <v/>
      </c>
      <c r="S440" s="9" t="str">
        <f t="shared" si="56"/>
        <v/>
      </c>
      <c r="T440" s="9" t="str">
        <f t="shared" si="57"/>
        <v/>
      </c>
      <c r="U440" s="9" t="str">
        <f>IF($A440="","",IF($K440="", "", ROUND((($K440 + Settings!$B$3 + $R440) - IF($M440="",0,$M440))/(1-Settings!$B$2),2)))</f>
        <v/>
      </c>
      <c r="V440" s="9" t="str">
        <f>IF($A440="","",$L440-($L440*Settings!$B$2)-$J440-($B440+SUM($D440:$I440)))</f>
        <v/>
      </c>
      <c r="W440" s="9" t="str">
        <f>IF($A440="","",(($B440+SUM($D440:$I440)+$J440+Settings!$B$3)/(1-Settings!$B$2))-$M440)</f>
        <v/>
      </c>
      <c r="X440" s="10" t="str">
        <f t="shared" si="58"/>
        <v/>
      </c>
      <c r="Y440" s="10" t="str">
        <f t="shared" si="59"/>
        <v/>
      </c>
      <c r="Z440" s="10" t="str">
        <f t="shared" si="60"/>
        <v/>
      </c>
      <c r="AA440" s="10" t="str">
        <f t="shared" si="61"/>
        <v/>
      </c>
      <c r="AC440" s="11"/>
      <c r="AD440" s="11"/>
      <c r="AE440" s="12" t="str">
        <f t="shared" si="62"/>
        <v/>
      </c>
    </row>
    <row r="441" spans="2:31" x14ac:dyDescent="0.25">
      <c r="B441" s="9"/>
      <c r="C441" t="s">
        <v>31</v>
      </c>
      <c r="D441" s="9" t="str">
        <f>IF($A441="","",1*'Material Costs'!$D$3)</f>
        <v/>
      </c>
      <c r="E441" s="9" t="str">
        <f>IF($A441="","",1*'Material Costs'!$D$2)</f>
        <v/>
      </c>
      <c r="F441" s="9" t="str">
        <f>IF($A441="","",IF($C441="Bubble Mailer",2,1)*'Material Costs'!$D$6)</f>
        <v/>
      </c>
      <c r="G441" s="9" t="str">
        <f>IF($A441="","",1*'Material Costs'!$D$7)</f>
        <v/>
      </c>
      <c r="H441" s="9" t="str">
        <f>IF($A441="","",IF($C441="Bubble Mailer",1,0)*'Material Costs'!$D$5)</f>
        <v/>
      </c>
      <c r="I441" s="9" t="str">
        <f>IF($A441="","",IF($C441="ESE (Ding Defend)",1,0)*'Material Costs'!$D$4)</f>
        <v/>
      </c>
      <c r="J441" s="9"/>
      <c r="K441" s="9" t="str">
        <f t="shared" si="54"/>
        <v/>
      </c>
      <c r="L441" s="9"/>
      <c r="M441" s="9"/>
      <c r="N441" s="9"/>
      <c r="O441" s="9" t="str">
        <f t="shared" si="55"/>
        <v/>
      </c>
      <c r="P441" s="9"/>
      <c r="Q441" s="9" t="str">
        <f>IF($A441="","",IF($O441="", "", ROUND($O441*Settings!$B$2+Settings!$B$3,2)))</f>
        <v/>
      </c>
      <c r="R441" s="9" t="str">
        <f>IF($A441="","",IF($L441="", "", Settings!$B$4))</f>
        <v/>
      </c>
      <c r="S441" s="9" t="str">
        <f t="shared" si="56"/>
        <v/>
      </c>
      <c r="T441" s="9" t="str">
        <f t="shared" si="57"/>
        <v/>
      </c>
      <c r="U441" s="9" t="str">
        <f>IF($A441="","",IF($K441="", "", ROUND((($K441 + Settings!$B$3 + $R441) - IF($M441="",0,$M441))/(1-Settings!$B$2),2)))</f>
        <v/>
      </c>
      <c r="V441" s="9" t="str">
        <f>IF($A441="","",$L441-($L441*Settings!$B$2)-$J441-($B441+SUM($D441:$I441)))</f>
        <v/>
      </c>
      <c r="W441" s="9" t="str">
        <f>IF($A441="","",(($B441+SUM($D441:$I441)+$J441+Settings!$B$3)/(1-Settings!$B$2))-$M441)</f>
        <v/>
      </c>
      <c r="X441" s="10" t="str">
        <f t="shared" si="58"/>
        <v/>
      </c>
      <c r="Y441" s="10" t="str">
        <f t="shared" si="59"/>
        <v/>
      </c>
      <c r="Z441" s="10" t="str">
        <f t="shared" si="60"/>
        <v/>
      </c>
      <c r="AA441" s="10" t="str">
        <f t="shared" si="61"/>
        <v/>
      </c>
      <c r="AC441" s="11"/>
      <c r="AD441" s="11"/>
      <c r="AE441" s="12" t="str">
        <f t="shared" si="62"/>
        <v/>
      </c>
    </row>
    <row r="442" spans="2:31" x14ac:dyDescent="0.25">
      <c r="B442" s="9"/>
      <c r="C442" t="s">
        <v>31</v>
      </c>
      <c r="D442" s="9" t="str">
        <f>IF($A442="","",1*'Material Costs'!$D$3)</f>
        <v/>
      </c>
      <c r="E442" s="9" t="str">
        <f>IF($A442="","",1*'Material Costs'!$D$2)</f>
        <v/>
      </c>
      <c r="F442" s="9" t="str">
        <f>IF($A442="","",IF($C442="Bubble Mailer",2,1)*'Material Costs'!$D$6)</f>
        <v/>
      </c>
      <c r="G442" s="9" t="str">
        <f>IF($A442="","",1*'Material Costs'!$D$7)</f>
        <v/>
      </c>
      <c r="H442" s="9" t="str">
        <f>IF($A442="","",IF($C442="Bubble Mailer",1,0)*'Material Costs'!$D$5)</f>
        <v/>
      </c>
      <c r="I442" s="9" t="str">
        <f>IF($A442="","",IF($C442="ESE (Ding Defend)",1,0)*'Material Costs'!$D$4)</f>
        <v/>
      </c>
      <c r="J442" s="9"/>
      <c r="K442" s="9" t="str">
        <f t="shared" si="54"/>
        <v/>
      </c>
      <c r="L442" s="9"/>
      <c r="M442" s="9"/>
      <c r="N442" s="9"/>
      <c r="O442" s="9" t="str">
        <f t="shared" si="55"/>
        <v/>
      </c>
      <c r="P442" s="9"/>
      <c r="Q442" s="9" t="str">
        <f>IF($A442="","",IF($O442="", "", ROUND($O442*Settings!$B$2+Settings!$B$3,2)))</f>
        <v/>
      </c>
      <c r="R442" s="9" t="str">
        <f>IF($A442="","",IF($L442="", "", Settings!$B$4))</f>
        <v/>
      </c>
      <c r="S442" s="9" t="str">
        <f t="shared" si="56"/>
        <v/>
      </c>
      <c r="T442" s="9" t="str">
        <f t="shared" si="57"/>
        <v/>
      </c>
      <c r="U442" s="9" t="str">
        <f>IF($A442="","",IF($K442="", "", ROUND((($K442 + Settings!$B$3 + $R442) - IF($M442="",0,$M442))/(1-Settings!$B$2),2)))</f>
        <v/>
      </c>
      <c r="V442" s="9" t="str">
        <f>IF($A442="","",$L442-($L442*Settings!$B$2)-$J442-($B442+SUM($D442:$I442)))</f>
        <v/>
      </c>
      <c r="W442" s="9" t="str">
        <f>IF($A442="","",(($B442+SUM($D442:$I442)+$J442+Settings!$B$3)/(1-Settings!$B$2))-$M442)</f>
        <v/>
      </c>
      <c r="X442" s="10" t="str">
        <f t="shared" si="58"/>
        <v/>
      </c>
      <c r="Y442" s="10" t="str">
        <f t="shared" si="59"/>
        <v/>
      </c>
      <c r="Z442" s="10" t="str">
        <f t="shared" si="60"/>
        <v/>
      </c>
      <c r="AA442" s="10" t="str">
        <f t="shared" si="61"/>
        <v/>
      </c>
      <c r="AC442" s="11"/>
      <c r="AD442" s="11"/>
      <c r="AE442" s="12" t="str">
        <f t="shared" si="62"/>
        <v/>
      </c>
    </row>
    <row r="443" spans="2:31" x14ac:dyDescent="0.25">
      <c r="B443" s="9"/>
      <c r="C443" t="s">
        <v>31</v>
      </c>
      <c r="D443" s="9" t="str">
        <f>IF($A443="","",1*'Material Costs'!$D$3)</f>
        <v/>
      </c>
      <c r="E443" s="9" t="str">
        <f>IF($A443="","",1*'Material Costs'!$D$2)</f>
        <v/>
      </c>
      <c r="F443" s="9" t="str">
        <f>IF($A443="","",IF($C443="Bubble Mailer",2,1)*'Material Costs'!$D$6)</f>
        <v/>
      </c>
      <c r="G443" s="9" t="str">
        <f>IF($A443="","",1*'Material Costs'!$D$7)</f>
        <v/>
      </c>
      <c r="H443" s="9" t="str">
        <f>IF($A443="","",IF($C443="Bubble Mailer",1,0)*'Material Costs'!$D$5)</f>
        <v/>
      </c>
      <c r="I443" s="9" t="str">
        <f>IF($A443="","",IF($C443="ESE (Ding Defend)",1,0)*'Material Costs'!$D$4)</f>
        <v/>
      </c>
      <c r="J443" s="9"/>
      <c r="K443" s="9" t="str">
        <f t="shared" si="54"/>
        <v/>
      </c>
      <c r="L443" s="9"/>
      <c r="M443" s="9"/>
      <c r="N443" s="9"/>
      <c r="O443" s="9" t="str">
        <f t="shared" si="55"/>
        <v/>
      </c>
      <c r="P443" s="9"/>
      <c r="Q443" s="9" t="str">
        <f>IF($A443="","",IF($O443="", "", ROUND($O443*Settings!$B$2+Settings!$B$3,2)))</f>
        <v/>
      </c>
      <c r="R443" s="9" t="str">
        <f>IF($A443="","",IF($L443="", "", Settings!$B$4))</f>
        <v/>
      </c>
      <c r="S443" s="9" t="str">
        <f t="shared" si="56"/>
        <v/>
      </c>
      <c r="T443" s="9" t="str">
        <f t="shared" si="57"/>
        <v/>
      </c>
      <c r="U443" s="9" t="str">
        <f>IF($A443="","",IF($K443="", "", ROUND((($K443 + Settings!$B$3 + $R443) - IF($M443="",0,$M443))/(1-Settings!$B$2),2)))</f>
        <v/>
      </c>
      <c r="V443" s="9" t="str">
        <f>IF($A443="","",$L443-($L443*Settings!$B$2)-$J443-($B443+SUM($D443:$I443)))</f>
        <v/>
      </c>
      <c r="W443" s="9" t="str">
        <f>IF($A443="","",(($B443+SUM($D443:$I443)+$J443+Settings!$B$3)/(1-Settings!$B$2))-$M443)</f>
        <v/>
      </c>
      <c r="X443" s="10" t="str">
        <f t="shared" si="58"/>
        <v/>
      </c>
      <c r="Y443" s="10" t="str">
        <f t="shared" si="59"/>
        <v/>
      </c>
      <c r="Z443" s="10" t="str">
        <f t="shared" si="60"/>
        <v/>
      </c>
      <c r="AA443" s="10" t="str">
        <f t="shared" si="61"/>
        <v/>
      </c>
      <c r="AC443" s="11"/>
      <c r="AD443" s="11"/>
      <c r="AE443" s="12" t="str">
        <f t="shared" si="62"/>
        <v/>
      </c>
    </row>
    <row r="444" spans="2:31" x14ac:dyDescent="0.25">
      <c r="B444" s="9"/>
      <c r="C444" t="s">
        <v>31</v>
      </c>
      <c r="D444" s="9" t="str">
        <f>IF($A444="","",1*'Material Costs'!$D$3)</f>
        <v/>
      </c>
      <c r="E444" s="9" t="str">
        <f>IF($A444="","",1*'Material Costs'!$D$2)</f>
        <v/>
      </c>
      <c r="F444" s="9" t="str">
        <f>IF($A444="","",IF($C444="Bubble Mailer",2,1)*'Material Costs'!$D$6)</f>
        <v/>
      </c>
      <c r="G444" s="9" t="str">
        <f>IF($A444="","",1*'Material Costs'!$D$7)</f>
        <v/>
      </c>
      <c r="H444" s="9" t="str">
        <f>IF($A444="","",IF($C444="Bubble Mailer",1,0)*'Material Costs'!$D$5)</f>
        <v/>
      </c>
      <c r="I444" s="9" t="str">
        <f>IF($A444="","",IF($C444="ESE (Ding Defend)",1,0)*'Material Costs'!$D$4)</f>
        <v/>
      </c>
      <c r="J444" s="9"/>
      <c r="K444" s="9" t="str">
        <f t="shared" si="54"/>
        <v/>
      </c>
      <c r="L444" s="9"/>
      <c r="M444" s="9"/>
      <c r="N444" s="9"/>
      <c r="O444" s="9" t="str">
        <f t="shared" si="55"/>
        <v/>
      </c>
      <c r="P444" s="9"/>
      <c r="Q444" s="9" t="str">
        <f>IF($A444="","",IF($O444="", "", ROUND($O444*Settings!$B$2+Settings!$B$3,2)))</f>
        <v/>
      </c>
      <c r="R444" s="9" t="str">
        <f>IF($A444="","",IF($L444="", "", Settings!$B$4))</f>
        <v/>
      </c>
      <c r="S444" s="9" t="str">
        <f t="shared" si="56"/>
        <v/>
      </c>
      <c r="T444" s="9" t="str">
        <f t="shared" si="57"/>
        <v/>
      </c>
      <c r="U444" s="9" t="str">
        <f>IF($A444="","",IF($K444="", "", ROUND((($K444 + Settings!$B$3 + $R444) - IF($M444="",0,$M444))/(1-Settings!$B$2),2)))</f>
        <v/>
      </c>
      <c r="V444" s="9" t="str">
        <f>IF($A444="","",$L444-($L444*Settings!$B$2)-$J444-($B444+SUM($D444:$I444)))</f>
        <v/>
      </c>
      <c r="W444" s="9" t="str">
        <f>IF($A444="","",(($B444+SUM($D444:$I444)+$J444+Settings!$B$3)/(1-Settings!$B$2))-$M444)</f>
        <v/>
      </c>
      <c r="X444" s="10" t="str">
        <f t="shared" si="58"/>
        <v/>
      </c>
      <c r="Y444" s="10" t="str">
        <f t="shared" si="59"/>
        <v/>
      </c>
      <c r="Z444" s="10" t="str">
        <f t="shared" si="60"/>
        <v/>
      </c>
      <c r="AA444" s="10" t="str">
        <f t="shared" si="61"/>
        <v/>
      </c>
      <c r="AC444" s="11"/>
      <c r="AD444" s="11"/>
      <c r="AE444" s="12" t="str">
        <f t="shared" si="62"/>
        <v/>
      </c>
    </row>
    <row r="445" spans="2:31" x14ac:dyDescent="0.25">
      <c r="B445" s="9"/>
      <c r="C445" t="s">
        <v>31</v>
      </c>
      <c r="D445" s="9" t="str">
        <f>IF($A445="","",1*'Material Costs'!$D$3)</f>
        <v/>
      </c>
      <c r="E445" s="9" t="str">
        <f>IF($A445="","",1*'Material Costs'!$D$2)</f>
        <v/>
      </c>
      <c r="F445" s="9" t="str">
        <f>IF($A445="","",IF($C445="Bubble Mailer",2,1)*'Material Costs'!$D$6)</f>
        <v/>
      </c>
      <c r="G445" s="9" t="str">
        <f>IF($A445="","",1*'Material Costs'!$D$7)</f>
        <v/>
      </c>
      <c r="H445" s="9" t="str">
        <f>IF($A445="","",IF($C445="Bubble Mailer",1,0)*'Material Costs'!$D$5)</f>
        <v/>
      </c>
      <c r="I445" s="9" t="str">
        <f>IF($A445="","",IF($C445="ESE (Ding Defend)",1,0)*'Material Costs'!$D$4)</f>
        <v/>
      </c>
      <c r="J445" s="9"/>
      <c r="K445" s="9" t="str">
        <f t="shared" si="54"/>
        <v/>
      </c>
      <c r="L445" s="9"/>
      <c r="M445" s="9"/>
      <c r="N445" s="9"/>
      <c r="O445" s="9" t="str">
        <f t="shared" si="55"/>
        <v/>
      </c>
      <c r="P445" s="9"/>
      <c r="Q445" s="9" t="str">
        <f>IF($A445="","",IF($O445="", "", ROUND($O445*Settings!$B$2+Settings!$B$3,2)))</f>
        <v/>
      </c>
      <c r="R445" s="9" t="str">
        <f>IF($A445="","",IF($L445="", "", Settings!$B$4))</f>
        <v/>
      </c>
      <c r="S445" s="9" t="str">
        <f t="shared" si="56"/>
        <v/>
      </c>
      <c r="T445" s="9" t="str">
        <f t="shared" si="57"/>
        <v/>
      </c>
      <c r="U445" s="9" t="str">
        <f>IF($A445="","",IF($K445="", "", ROUND((($K445 + Settings!$B$3 + $R445) - IF($M445="",0,$M445))/(1-Settings!$B$2),2)))</f>
        <v/>
      </c>
      <c r="V445" s="9" t="str">
        <f>IF($A445="","",$L445-($L445*Settings!$B$2)-$J445-($B445+SUM($D445:$I445)))</f>
        <v/>
      </c>
      <c r="W445" s="9" t="str">
        <f>IF($A445="","",(($B445+SUM($D445:$I445)+$J445+Settings!$B$3)/(1-Settings!$B$2))-$M445)</f>
        <v/>
      </c>
      <c r="X445" s="10" t="str">
        <f t="shared" si="58"/>
        <v/>
      </c>
      <c r="Y445" s="10" t="str">
        <f t="shared" si="59"/>
        <v/>
      </c>
      <c r="Z445" s="10" t="str">
        <f t="shared" si="60"/>
        <v/>
      </c>
      <c r="AA445" s="10" t="str">
        <f t="shared" si="61"/>
        <v/>
      </c>
      <c r="AC445" s="11"/>
      <c r="AD445" s="11"/>
      <c r="AE445" s="12" t="str">
        <f t="shared" si="62"/>
        <v/>
      </c>
    </row>
    <row r="446" spans="2:31" x14ac:dyDescent="0.25">
      <c r="B446" s="9"/>
      <c r="C446" t="s">
        <v>31</v>
      </c>
      <c r="D446" s="9" t="str">
        <f>IF($A446="","",1*'Material Costs'!$D$3)</f>
        <v/>
      </c>
      <c r="E446" s="9" t="str">
        <f>IF($A446="","",1*'Material Costs'!$D$2)</f>
        <v/>
      </c>
      <c r="F446" s="9" t="str">
        <f>IF($A446="","",IF($C446="Bubble Mailer",2,1)*'Material Costs'!$D$6)</f>
        <v/>
      </c>
      <c r="G446" s="9" t="str">
        <f>IF($A446="","",1*'Material Costs'!$D$7)</f>
        <v/>
      </c>
      <c r="H446" s="9" t="str">
        <f>IF($A446="","",IF($C446="Bubble Mailer",1,0)*'Material Costs'!$D$5)</f>
        <v/>
      </c>
      <c r="I446" s="9" t="str">
        <f>IF($A446="","",IF($C446="ESE (Ding Defend)",1,0)*'Material Costs'!$D$4)</f>
        <v/>
      </c>
      <c r="J446" s="9"/>
      <c r="K446" s="9" t="str">
        <f t="shared" si="54"/>
        <v/>
      </c>
      <c r="L446" s="9"/>
      <c r="M446" s="9"/>
      <c r="N446" s="9"/>
      <c r="O446" s="9" t="str">
        <f t="shared" si="55"/>
        <v/>
      </c>
      <c r="P446" s="9"/>
      <c r="Q446" s="9" t="str">
        <f>IF($A446="","",IF($O446="", "", ROUND($O446*Settings!$B$2+Settings!$B$3,2)))</f>
        <v/>
      </c>
      <c r="R446" s="9" t="str">
        <f>IF($A446="","",IF($L446="", "", Settings!$B$4))</f>
        <v/>
      </c>
      <c r="S446" s="9" t="str">
        <f t="shared" si="56"/>
        <v/>
      </c>
      <c r="T446" s="9" t="str">
        <f t="shared" si="57"/>
        <v/>
      </c>
      <c r="U446" s="9" t="str">
        <f>IF($A446="","",IF($K446="", "", ROUND((($K446 + Settings!$B$3 + $R446) - IF($M446="",0,$M446))/(1-Settings!$B$2),2)))</f>
        <v/>
      </c>
      <c r="V446" s="9" t="str">
        <f>IF($A446="","",$L446-($L446*Settings!$B$2)-$J446-($B446+SUM($D446:$I446)))</f>
        <v/>
      </c>
      <c r="W446" s="9" t="str">
        <f>IF($A446="","",(($B446+SUM($D446:$I446)+$J446+Settings!$B$3)/(1-Settings!$B$2))-$M446)</f>
        <v/>
      </c>
      <c r="X446" s="10" t="str">
        <f t="shared" si="58"/>
        <v/>
      </c>
      <c r="Y446" s="10" t="str">
        <f t="shared" si="59"/>
        <v/>
      </c>
      <c r="Z446" s="10" t="str">
        <f t="shared" si="60"/>
        <v/>
      </c>
      <c r="AA446" s="10" t="str">
        <f t="shared" si="61"/>
        <v/>
      </c>
      <c r="AC446" s="11"/>
      <c r="AD446" s="11"/>
      <c r="AE446" s="12" t="str">
        <f t="shared" si="62"/>
        <v/>
      </c>
    </row>
    <row r="447" spans="2:31" x14ac:dyDescent="0.25">
      <c r="B447" s="9"/>
      <c r="C447" t="s">
        <v>31</v>
      </c>
      <c r="D447" s="9" t="str">
        <f>IF($A447="","",1*'Material Costs'!$D$3)</f>
        <v/>
      </c>
      <c r="E447" s="9" t="str">
        <f>IF($A447="","",1*'Material Costs'!$D$2)</f>
        <v/>
      </c>
      <c r="F447" s="9" t="str">
        <f>IF($A447="","",IF($C447="Bubble Mailer",2,1)*'Material Costs'!$D$6)</f>
        <v/>
      </c>
      <c r="G447" s="9" t="str">
        <f>IF($A447="","",1*'Material Costs'!$D$7)</f>
        <v/>
      </c>
      <c r="H447" s="9" t="str">
        <f>IF($A447="","",IF($C447="Bubble Mailer",1,0)*'Material Costs'!$D$5)</f>
        <v/>
      </c>
      <c r="I447" s="9" t="str">
        <f>IF($A447="","",IF($C447="ESE (Ding Defend)",1,0)*'Material Costs'!$D$4)</f>
        <v/>
      </c>
      <c r="J447" s="9"/>
      <c r="K447" s="9" t="str">
        <f t="shared" si="54"/>
        <v/>
      </c>
      <c r="L447" s="9"/>
      <c r="M447" s="9"/>
      <c r="N447" s="9"/>
      <c r="O447" s="9" t="str">
        <f t="shared" si="55"/>
        <v/>
      </c>
      <c r="P447" s="9"/>
      <c r="Q447" s="9" t="str">
        <f>IF($A447="","",IF($O447="", "", ROUND($O447*Settings!$B$2+Settings!$B$3,2)))</f>
        <v/>
      </c>
      <c r="R447" s="9" t="str">
        <f>IF($A447="","",IF($L447="", "", Settings!$B$4))</f>
        <v/>
      </c>
      <c r="S447" s="9" t="str">
        <f t="shared" si="56"/>
        <v/>
      </c>
      <c r="T447" s="9" t="str">
        <f t="shared" si="57"/>
        <v/>
      </c>
      <c r="U447" s="9" t="str">
        <f>IF($A447="","",IF($K447="", "", ROUND((($K447 + Settings!$B$3 + $R447) - IF($M447="",0,$M447))/(1-Settings!$B$2),2)))</f>
        <v/>
      </c>
      <c r="V447" s="9" t="str">
        <f>IF($A447="","",$L447-($L447*Settings!$B$2)-$J447-($B447+SUM($D447:$I447)))</f>
        <v/>
      </c>
      <c r="W447" s="9" t="str">
        <f>IF($A447="","",(($B447+SUM($D447:$I447)+$J447+Settings!$B$3)/(1-Settings!$B$2))-$M447)</f>
        <v/>
      </c>
      <c r="X447" s="10" t="str">
        <f t="shared" si="58"/>
        <v/>
      </c>
      <c r="Y447" s="10" t="str">
        <f t="shared" si="59"/>
        <v/>
      </c>
      <c r="Z447" s="10" t="str">
        <f t="shared" si="60"/>
        <v/>
      </c>
      <c r="AA447" s="10" t="str">
        <f t="shared" si="61"/>
        <v/>
      </c>
      <c r="AC447" s="11"/>
      <c r="AD447" s="11"/>
      <c r="AE447" s="12" t="str">
        <f t="shared" si="62"/>
        <v/>
      </c>
    </row>
    <row r="448" spans="2:31" x14ac:dyDescent="0.25">
      <c r="B448" s="9"/>
      <c r="C448" t="s">
        <v>31</v>
      </c>
      <c r="D448" s="9" t="str">
        <f>IF($A448="","",1*'Material Costs'!$D$3)</f>
        <v/>
      </c>
      <c r="E448" s="9" t="str">
        <f>IF($A448="","",1*'Material Costs'!$D$2)</f>
        <v/>
      </c>
      <c r="F448" s="9" t="str">
        <f>IF($A448="","",IF($C448="Bubble Mailer",2,1)*'Material Costs'!$D$6)</f>
        <v/>
      </c>
      <c r="G448" s="9" t="str">
        <f>IF($A448="","",1*'Material Costs'!$D$7)</f>
        <v/>
      </c>
      <c r="H448" s="9" t="str">
        <f>IF($A448="","",IF($C448="Bubble Mailer",1,0)*'Material Costs'!$D$5)</f>
        <v/>
      </c>
      <c r="I448" s="9" t="str">
        <f>IF($A448="","",IF($C448="ESE (Ding Defend)",1,0)*'Material Costs'!$D$4)</f>
        <v/>
      </c>
      <c r="J448" s="9"/>
      <c r="K448" s="9" t="str">
        <f t="shared" si="54"/>
        <v/>
      </c>
      <c r="L448" s="9"/>
      <c r="M448" s="9"/>
      <c r="N448" s="9"/>
      <c r="O448" s="9" t="str">
        <f t="shared" si="55"/>
        <v/>
      </c>
      <c r="P448" s="9"/>
      <c r="Q448" s="9" t="str">
        <f>IF($A448="","",IF($O448="", "", ROUND($O448*Settings!$B$2+Settings!$B$3,2)))</f>
        <v/>
      </c>
      <c r="R448" s="9" t="str">
        <f>IF($A448="","",IF($L448="", "", Settings!$B$4))</f>
        <v/>
      </c>
      <c r="S448" s="9" t="str">
        <f t="shared" si="56"/>
        <v/>
      </c>
      <c r="T448" s="9" t="str">
        <f t="shared" si="57"/>
        <v/>
      </c>
      <c r="U448" s="9" t="str">
        <f>IF($A448="","",IF($K448="", "", ROUND((($K448 + Settings!$B$3 + $R448) - IF($M448="",0,$M448))/(1-Settings!$B$2),2)))</f>
        <v/>
      </c>
      <c r="V448" s="9" t="str">
        <f>IF($A448="","",$L448-($L448*Settings!$B$2)-$J448-($B448+SUM($D448:$I448)))</f>
        <v/>
      </c>
      <c r="W448" s="9" t="str">
        <f>IF($A448="","",(($B448+SUM($D448:$I448)+$J448+Settings!$B$3)/(1-Settings!$B$2))-$M448)</f>
        <v/>
      </c>
      <c r="X448" s="10" t="str">
        <f t="shared" si="58"/>
        <v/>
      </c>
      <c r="Y448" s="10" t="str">
        <f t="shared" si="59"/>
        <v/>
      </c>
      <c r="Z448" s="10" t="str">
        <f t="shared" si="60"/>
        <v/>
      </c>
      <c r="AA448" s="10" t="str">
        <f t="shared" si="61"/>
        <v/>
      </c>
      <c r="AC448" s="11"/>
      <c r="AD448" s="11"/>
      <c r="AE448" s="12" t="str">
        <f t="shared" si="62"/>
        <v/>
      </c>
    </row>
    <row r="449" spans="2:31" x14ac:dyDescent="0.25">
      <c r="B449" s="9"/>
      <c r="C449" t="s">
        <v>31</v>
      </c>
      <c r="D449" s="9" t="str">
        <f>IF($A449="","",1*'Material Costs'!$D$3)</f>
        <v/>
      </c>
      <c r="E449" s="9" t="str">
        <f>IF($A449="","",1*'Material Costs'!$D$2)</f>
        <v/>
      </c>
      <c r="F449" s="9" t="str">
        <f>IF($A449="","",IF($C449="Bubble Mailer",2,1)*'Material Costs'!$D$6)</f>
        <v/>
      </c>
      <c r="G449" s="9" t="str">
        <f>IF($A449="","",1*'Material Costs'!$D$7)</f>
        <v/>
      </c>
      <c r="H449" s="9" t="str">
        <f>IF($A449="","",IF($C449="Bubble Mailer",1,0)*'Material Costs'!$D$5)</f>
        <v/>
      </c>
      <c r="I449" s="9" t="str">
        <f>IF($A449="","",IF($C449="ESE (Ding Defend)",1,0)*'Material Costs'!$D$4)</f>
        <v/>
      </c>
      <c r="J449" s="9"/>
      <c r="K449" s="9" t="str">
        <f t="shared" ref="K449:K502" si="63">IF($A449="","",SUM($B449:$J449))</f>
        <v/>
      </c>
      <c r="L449" s="9"/>
      <c r="M449" s="9"/>
      <c r="N449" s="9"/>
      <c r="O449" s="9" t="str">
        <f t="shared" ref="O449:O502" si="64">IF($A449="","",SUM($L449:$N449))</f>
        <v/>
      </c>
      <c r="P449" s="9"/>
      <c r="Q449" s="9" t="str">
        <f>IF($A449="","",IF($O449="", "", ROUND($O449*Settings!$B$2+Settings!$B$3,2)))</f>
        <v/>
      </c>
      <c r="R449" s="9" t="str">
        <f>IF($A449="","",IF($L449="", "", Settings!$B$4))</f>
        <v/>
      </c>
      <c r="S449" s="9" t="str">
        <f t="shared" ref="S449:S502" si="65">IF($A449="","",IF($O449="", "", ROUND($O449 - IF($P449&lt;&gt;"",$P449,$Q449) - $R449,2)))</f>
        <v/>
      </c>
      <c r="T449" s="9" t="str">
        <f t="shared" ref="T449:T502" si="66">IF($A449="","",IF($S449="", "", ROUND($S449 - $K449,2)))</f>
        <v/>
      </c>
      <c r="U449" s="9" t="str">
        <f>IF($A449="","",IF($K449="", "", ROUND((($K449 + Settings!$B$3 + $R449) - IF($M449="",0,$M449))/(1-Settings!$B$2),2)))</f>
        <v/>
      </c>
      <c r="V449" s="9" t="str">
        <f>IF($A449="","",$L449-($L449*Settings!$B$2)-$J449-($B449+SUM($D449:$I449)))</f>
        <v/>
      </c>
      <c r="W449" s="9" t="str">
        <f>IF($A449="","",(($B449+SUM($D449:$I449)+$J449+Settings!$B$3)/(1-Settings!$B$2))-$M449)</f>
        <v/>
      </c>
      <c r="X449" s="10" t="str">
        <f t="shared" ref="X449:X502" si="67">IF($A449="","",IF($O449="", "", IFERROR($T449/$O449, "")))</f>
        <v/>
      </c>
      <c r="Y449" s="10" t="str">
        <f t="shared" ref="Y449:Y502" si="68">IF($A449="","",IF($K449="", "", IFERROR($T449/$K449, "")))</f>
        <v/>
      </c>
      <c r="Z449" s="10" t="str">
        <f t="shared" ref="Z449:Z502" si="69">IF($A449="","",IF($O449="", "", IFERROR($Q449/$O449, "")))</f>
        <v/>
      </c>
      <c r="AA449" s="10" t="str">
        <f t="shared" ref="AA449:AA502" si="70">IF($A449="","",IF($L449="", "", IFERROR($T449/$L449, "")))</f>
        <v/>
      </c>
      <c r="AC449" s="11"/>
      <c r="AD449" s="11"/>
      <c r="AE449" s="12" t="str">
        <f t="shared" ref="AE449:AE502" si="71">IF($A449="","",IF(OR($AC449="", $AD449=""),"", $AD449-$AC449))</f>
        <v/>
      </c>
    </row>
    <row r="450" spans="2:31" x14ac:dyDescent="0.25">
      <c r="B450" s="9"/>
      <c r="C450" t="s">
        <v>31</v>
      </c>
      <c r="D450" s="9" t="str">
        <f>IF($A450="","",1*'Material Costs'!$D$3)</f>
        <v/>
      </c>
      <c r="E450" s="9" t="str">
        <f>IF($A450="","",1*'Material Costs'!$D$2)</f>
        <v/>
      </c>
      <c r="F450" s="9" t="str">
        <f>IF($A450="","",IF($C450="Bubble Mailer",2,1)*'Material Costs'!$D$6)</f>
        <v/>
      </c>
      <c r="G450" s="9" t="str">
        <f>IF($A450="","",1*'Material Costs'!$D$7)</f>
        <v/>
      </c>
      <c r="H450" s="9" t="str">
        <f>IF($A450="","",IF($C450="Bubble Mailer",1,0)*'Material Costs'!$D$5)</f>
        <v/>
      </c>
      <c r="I450" s="9" t="str">
        <f>IF($A450="","",IF($C450="ESE (Ding Defend)",1,0)*'Material Costs'!$D$4)</f>
        <v/>
      </c>
      <c r="J450" s="9"/>
      <c r="K450" s="9" t="str">
        <f t="shared" si="63"/>
        <v/>
      </c>
      <c r="L450" s="9"/>
      <c r="M450" s="9"/>
      <c r="N450" s="9"/>
      <c r="O450" s="9" t="str">
        <f t="shared" si="64"/>
        <v/>
      </c>
      <c r="P450" s="9"/>
      <c r="Q450" s="9" t="str">
        <f>IF($A450="","",IF($O450="", "", ROUND($O450*Settings!$B$2+Settings!$B$3,2)))</f>
        <v/>
      </c>
      <c r="R450" s="9" t="str">
        <f>IF($A450="","",IF($L450="", "", Settings!$B$4))</f>
        <v/>
      </c>
      <c r="S450" s="9" t="str">
        <f t="shared" si="65"/>
        <v/>
      </c>
      <c r="T450" s="9" t="str">
        <f t="shared" si="66"/>
        <v/>
      </c>
      <c r="U450" s="9" t="str">
        <f>IF($A450="","",IF($K450="", "", ROUND((($K450 + Settings!$B$3 + $R450) - IF($M450="",0,$M450))/(1-Settings!$B$2),2)))</f>
        <v/>
      </c>
      <c r="V450" s="9" t="str">
        <f>IF($A450="","",$L450-($L450*Settings!$B$2)-$J450-($B450+SUM($D450:$I450)))</f>
        <v/>
      </c>
      <c r="W450" s="9" t="str">
        <f>IF($A450="","",(($B450+SUM($D450:$I450)+$J450+Settings!$B$3)/(1-Settings!$B$2))-$M450)</f>
        <v/>
      </c>
      <c r="X450" s="10" t="str">
        <f t="shared" si="67"/>
        <v/>
      </c>
      <c r="Y450" s="10" t="str">
        <f t="shared" si="68"/>
        <v/>
      </c>
      <c r="Z450" s="10" t="str">
        <f t="shared" si="69"/>
        <v/>
      </c>
      <c r="AA450" s="10" t="str">
        <f t="shared" si="70"/>
        <v/>
      </c>
      <c r="AC450" s="11"/>
      <c r="AD450" s="11"/>
      <c r="AE450" s="12" t="str">
        <f t="shared" si="71"/>
        <v/>
      </c>
    </row>
    <row r="451" spans="2:31" x14ac:dyDescent="0.25">
      <c r="B451" s="9"/>
      <c r="C451" t="s">
        <v>31</v>
      </c>
      <c r="D451" s="9" t="str">
        <f>IF($A451="","",1*'Material Costs'!$D$3)</f>
        <v/>
      </c>
      <c r="E451" s="9" t="str">
        <f>IF($A451="","",1*'Material Costs'!$D$2)</f>
        <v/>
      </c>
      <c r="F451" s="9" t="str">
        <f>IF($A451="","",IF($C451="Bubble Mailer",2,1)*'Material Costs'!$D$6)</f>
        <v/>
      </c>
      <c r="G451" s="9" t="str">
        <f>IF($A451="","",1*'Material Costs'!$D$7)</f>
        <v/>
      </c>
      <c r="H451" s="9" t="str">
        <f>IF($A451="","",IF($C451="Bubble Mailer",1,0)*'Material Costs'!$D$5)</f>
        <v/>
      </c>
      <c r="I451" s="9" t="str">
        <f>IF($A451="","",IF($C451="ESE (Ding Defend)",1,0)*'Material Costs'!$D$4)</f>
        <v/>
      </c>
      <c r="J451" s="9"/>
      <c r="K451" s="9" t="str">
        <f t="shared" si="63"/>
        <v/>
      </c>
      <c r="L451" s="9"/>
      <c r="M451" s="9"/>
      <c r="N451" s="9"/>
      <c r="O451" s="9" t="str">
        <f t="shared" si="64"/>
        <v/>
      </c>
      <c r="P451" s="9"/>
      <c r="Q451" s="9" t="str">
        <f>IF($A451="","",IF($O451="", "", ROUND($O451*Settings!$B$2+Settings!$B$3,2)))</f>
        <v/>
      </c>
      <c r="R451" s="9" t="str">
        <f>IF($A451="","",IF($L451="", "", Settings!$B$4))</f>
        <v/>
      </c>
      <c r="S451" s="9" t="str">
        <f t="shared" si="65"/>
        <v/>
      </c>
      <c r="T451" s="9" t="str">
        <f t="shared" si="66"/>
        <v/>
      </c>
      <c r="U451" s="9" t="str">
        <f>IF($A451="","",IF($K451="", "", ROUND((($K451 + Settings!$B$3 + $R451) - IF($M451="",0,$M451))/(1-Settings!$B$2),2)))</f>
        <v/>
      </c>
      <c r="V451" s="9" t="str">
        <f>IF($A451="","",$L451-($L451*Settings!$B$2)-$J451-($B451+SUM($D451:$I451)))</f>
        <v/>
      </c>
      <c r="W451" s="9" t="str">
        <f>IF($A451="","",(($B451+SUM($D451:$I451)+$J451+Settings!$B$3)/(1-Settings!$B$2))-$M451)</f>
        <v/>
      </c>
      <c r="X451" s="10" t="str">
        <f t="shared" si="67"/>
        <v/>
      </c>
      <c r="Y451" s="10" t="str">
        <f t="shared" si="68"/>
        <v/>
      </c>
      <c r="Z451" s="10" t="str">
        <f t="shared" si="69"/>
        <v/>
      </c>
      <c r="AA451" s="10" t="str">
        <f t="shared" si="70"/>
        <v/>
      </c>
      <c r="AC451" s="11"/>
      <c r="AD451" s="11"/>
      <c r="AE451" s="12" t="str">
        <f t="shared" si="71"/>
        <v/>
      </c>
    </row>
    <row r="452" spans="2:31" x14ac:dyDescent="0.25">
      <c r="B452" s="9"/>
      <c r="C452" t="s">
        <v>31</v>
      </c>
      <c r="D452" s="9" t="str">
        <f>IF($A452="","",1*'Material Costs'!$D$3)</f>
        <v/>
      </c>
      <c r="E452" s="9" t="str">
        <f>IF($A452="","",1*'Material Costs'!$D$2)</f>
        <v/>
      </c>
      <c r="F452" s="9" t="str">
        <f>IF($A452="","",IF($C452="Bubble Mailer",2,1)*'Material Costs'!$D$6)</f>
        <v/>
      </c>
      <c r="G452" s="9" t="str">
        <f>IF($A452="","",1*'Material Costs'!$D$7)</f>
        <v/>
      </c>
      <c r="H452" s="9" t="str">
        <f>IF($A452="","",IF($C452="Bubble Mailer",1,0)*'Material Costs'!$D$5)</f>
        <v/>
      </c>
      <c r="I452" s="9" t="str">
        <f>IF($A452="","",IF($C452="ESE (Ding Defend)",1,0)*'Material Costs'!$D$4)</f>
        <v/>
      </c>
      <c r="J452" s="9"/>
      <c r="K452" s="9" t="str">
        <f t="shared" si="63"/>
        <v/>
      </c>
      <c r="L452" s="9"/>
      <c r="M452" s="9"/>
      <c r="N452" s="9"/>
      <c r="O452" s="9" t="str">
        <f t="shared" si="64"/>
        <v/>
      </c>
      <c r="P452" s="9"/>
      <c r="Q452" s="9" t="str">
        <f>IF($A452="","",IF($O452="", "", ROUND($O452*Settings!$B$2+Settings!$B$3,2)))</f>
        <v/>
      </c>
      <c r="R452" s="9" t="str">
        <f>IF($A452="","",IF($L452="", "", Settings!$B$4))</f>
        <v/>
      </c>
      <c r="S452" s="9" t="str">
        <f t="shared" si="65"/>
        <v/>
      </c>
      <c r="T452" s="9" t="str">
        <f t="shared" si="66"/>
        <v/>
      </c>
      <c r="U452" s="9" t="str">
        <f>IF($A452="","",IF($K452="", "", ROUND((($K452 + Settings!$B$3 + $R452) - IF($M452="",0,$M452))/(1-Settings!$B$2),2)))</f>
        <v/>
      </c>
      <c r="V452" s="9" t="str">
        <f>IF($A452="","",$L452-($L452*Settings!$B$2)-$J452-($B452+SUM($D452:$I452)))</f>
        <v/>
      </c>
      <c r="W452" s="9" t="str">
        <f>IF($A452="","",(($B452+SUM($D452:$I452)+$J452+Settings!$B$3)/(1-Settings!$B$2))-$M452)</f>
        <v/>
      </c>
      <c r="X452" s="10" t="str">
        <f t="shared" si="67"/>
        <v/>
      </c>
      <c r="Y452" s="10" t="str">
        <f t="shared" si="68"/>
        <v/>
      </c>
      <c r="Z452" s="10" t="str">
        <f t="shared" si="69"/>
        <v/>
      </c>
      <c r="AA452" s="10" t="str">
        <f t="shared" si="70"/>
        <v/>
      </c>
      <c r="AC452" s="11"/>
      <c r="AD452" s="11"/>
      <c r="AE452" s="12" t="str">
        <f t="shared" si="71"/>
        <v/>
      </c>
    </row>
    <row r="453" spans="2:31" x14ac:dyDescent="0.25">
      <c r="B453" s="9"/>
      <c r="C453" t="s">
        <v>31</v>
      </c>
      <c r="D453" s="9" t="str">
        <f>IF($A453="","",1*'Material Costs'!$D$3)</f>
        <v/>
      </c>
      <c r="E453" s="9" t="str">
        <f>IF($A453="","",1*'Material Costs'!$D$2)</f>
        <v/>
      </c>
      <c r="F453" s="9" t="str">
        <f>IF($A453="","",IF($C453="Bubble Mailer",2,1)*'Material Costs'!$D$6)</f>
        <v/>
      </c>
      <c r="G453" s="9" t="str">
        <f>IF($A453="","",1*'Material Costs'!$D$7)</f>
        <v/>
      </c>
      <c r="H453" s="9" t="str">
        <f>IF($A453="","",IF($C453="Bubble Mailer",1,0)*'Material Costs'!$D$5)</f>
        <v/>
      </c>
      <c r="I453" s="9" t="str">
        <f>IF($A453="","",IF($C453="ESE (Ding Defend)",1,0)*'Material Costs'!$D$4)</f>
        <v/>
      </c>
      <c r="J453" s="9"/>
      <c r="K453" s="9" t="str">
        <f t="shared" si="63"/>
        <v/>
      </c>
      <c r="L453" s="9"/>
      <c r="M453" s="9"/>
      <c r="N453" s="9"/>
      <c r="O453" s="9" t="str">
        <f t="shared" si="64"/>
        <v/>
      </c>
      <c r="P453" s="9"/>
      <c r="Q453" s="9" t="str">
        <f>IF($A453="","",IF($O453="", "", ROUND($O453*Settings!$B$2+Settings!$B$3,2)))</f>
        <v/>
      </c>
      <c r="R453" s="9" t="str">
        <f>IF($A453="","",IF($L453="", "", Settings!$B$4))</f>
        <v/>
      </c>
      <c r="S453" s="9" t="str">
        <f t="shared" si="65"/>
        <v/>
      </c>
      <c r="T453" s="9" t="str">
        <f t="shared" si="66"/>
        <v/>
      </c>
      <c r="U453" s="9" t="str">
        <f>IF($A453="","",IF($K453="", "", ROUND((($K453 + Settings!$B$3 + $R453) - IF($M453="",0,$M453))/(1-Settings!$B$2),2)))</f>
        <v/>
      </c>
      <c r="V453" s="9" t="str">
        <f>IF($A453="","",$L453-($L453*Settings!$B$2)-$J453-($B453+SUM($D453:$I453)))</f>
        <v/>
      </c>
      <c r="W453" s="9" t="str">
        <f>IF($A453="","",(($B453+SUM($D453:$I453)+$J453+Settings!$B$3)/(1-Settings!$B$2))-$M453)</f>
        <v/>
      </c>
      <c r="X453" s="10" t="str">
        <f t="shared" si="67"/>
        <v/>
      </c>
      <c r="Y453" s="10" t="str">
        <f t="shared" si="68"/>
        <v/>
      </c>
      <c r="Z453" s="10" t="str">
        <f t="shared" si="69"/>
        <v/>
      </c>
      <c r="AA453" s="10" t="str">
        <f t="shared" si="70"/>
        <v/>
      </c>
      <c r="AC453" s="11"/>
      <c r="AD453" s="11"/>
      <c r="AE453" s="12" t="str">
        <f t="shared" si="71"/>
        <v/>
      </c>
    </row>
    <row r="454" spans="2:31" x14ac:dyDescent="0.25">
      <c r="B454" s="9"/>
      <c r="C454" t="s">
        <v>31</v>
      </c>
      <c r="D454" s="9" t="str">
        <f>IF($A454="","",1*'Material Costs'!$D$3)</f>
        <v/>
      </c>
      <c r="E454" s="9" t="str">
        <f>IF($A454="","",1*'Material Costs'!$D$2)</f>
        <v/>
      </c>
      <c r="F454" s="9" t="str">
        <f>IF($A454="","",IF($C454="Bubble Mailer",2,1)*'Material Costs'!$D$6)</f>
        <v/>
      </c>
      <c r="G454" s="9" t="str">
        <f>IF($A454="","",1*'Material Costs'!$D$7)</f>
        <v/>
      </c>
      <c r="H454" s="9" t="str">
        <f>IF($A454="","",IF($C454="Bubble Mailer",1,0)*'Material Costs'!$D$5)</f>
        <v/>
      </c>
      <c r="I454" s="9" t="str">
        <f>IF($A454="","",IF($C454="ESE (Ding Defend)",1,0)*'Material Costs'!$D$4)</f>
        <v/>
      </c>
      <c r="J454" s="9"/>
      <c r="K454" s="9" t="str">
        <f t="shared" si="63"/>
        <v/>
      </c>
      <c r="L454" s="9"/>
      <c r="M454" s="9"/>
      <c r="N454" s="9"/>
      <c r="O454" s="9" t="str">
        <f t="shared" si="64"/>
        <v/>
      </c>
      <c r="P454" s="9"/>
      <c r="Q454" s="9" t="str">
        <f>IF($A454="","",IF($O454="", "", ROUND($O454*Settings!$B$2+Settings!$B$3,2)))</f>
        <v/>
      </c>
      <c r="R454" s="9" t="str">
        <f>IF($A454="","",IF($L454="", "", Settings!$B$4))</f>
        <v/>
      </c>
      <c r="S454" s="9" t="str">
        <f t="shared" si="65"/>
        <v/>
      </c>
      <c r="T454" s="9" t="str">
        <f t="shared" si="66"/>
        <v/>
      </c>
      <c r="U454" s="9" t="str">
        <f>IF($A454="","",IF($K454="", "", ROUND((($K454 + Settings!$B$3 + $R454) - IF($M454="",0,$M454))/(1-Settings!$B$2),2)))</f>
        <v/>
      </c>
      <c r="V454" s="9" t="str">
        <f>IF($A454="","",$L454-($L454*Settings!$B$2)-$J454-($B454+SUM($D454:$I454)))</f>
        <v/>
      </c>
      <c r="W454" s="9" t="str">
        <f>IF($A454="","",(($B454+SUM($D454:$I454)+$J454+Settings!$B$3)/(1-Settings!$B$2))-$M454)</f>
        <v/>
      </c>
      <c r="X454" s="10" t="str">
        <f t="shared" si="67"/>
        <v/>
      </c>
      <c r="Y454" s="10" t="str">
        <f t="shared" si="68"/>
        <v/>
      </c>
      <c r="Z454" s="10" t="str">
        <f t="shared" si="69"/>
        <v/>
      </c>
      <c r="AA454" s="10" t="str">
        <f t="shared" si="70"/>
        <v/>
      </c>
      <c r="AC454" s="11"/>
      <c r="AD454" s="11"/>
      <c r="AE454" s="12" t="str">
        <f t="shared" si="71"/>
        <v/>
      </c>
    </row>
    <row r="455" spans="2:31" x14ac:dyDescent="0.25">
      <c r="B455" s="9"/>
      <c r="C455" t="s">
        <v>31</v>
      </c>
      <c r="D455" s="9" t="str">
        <f>IF($A455="","",1*'Material Costs'!$D$3)</f>
        <v/>
      </c>
      <c r="E455" s="9" t="str">
        <f>IF($A455="","",1*'Material Costs'!$D$2)</f>
        <v/>
      </c>
      <c r="F455" s="9" t="str">
        <f>IF($A455="","",IF($C455="Bubble Mailer",2,1)*'Material Costs'!$D$6)</f>
        <v/>
      </c>
      <c r="G455" s="9" t="str">
        <f>IF($A455="","",1*'Material Costs'!$D$7)</f>
        <v/>
      </c>
      <c r="H455" s="9" t="str">
        <f>IF($A455="","",IF($C455="Bubble Mailer",1,0)*'Material Costs'!$D$5)</f>
        <v/>
      </c>
      <c r="I455" s="9" t="str">
        <f>IF($A455="","",IF($C455="ESE (Ding Defend)",1,0)*'Material Costs'!$D$4)</f>
        <v/>
      </c>
      <c r="J455" s="9"/>
      <c r="K455" s="9" t="str">
        <f t="shared" si="63"/>
        <v/>
      </c>
      <c r="L455" s="9"/>
      <c r="M455" s="9"/>
      <c r="N455" s="9"/>
      <c r="O455" s="9" t="str">
        <f t="shared" si="64"/>
        <v/>
      </c>
      <c r="P455" s="9"/>
      <c r="Q455" s="9" t="str">
        <f>IF($A455="","",IF($O455="", "", ROUND($O455*Settings!$B$2+Settings!$B$3,2)))</f>
        <v/>
      </c>
      <c r="R455" s="9" t="str">
        <f>IF($A455="","",IF($L455="", "", Settings!$B$4))</f>
        <v/>
      </c>
      <c r="S455" s="9" t="str">
        <f t="shared" si="65"/>
        <v/>
      </c>
      <c r="T455" s="9" t="str">
        <f t="shared" si="66"/>
        <v/>
      </c>
      <c r="U455" s="9" t="str">
        <f>IF($A455="","",IF($K455="", "", ROUND((($K455 + Settings!$B$3 + $R455) - IF($M455="",0,$M455))/(1-Settings!$B$2),2)))</f>
        <v/>
      </c>
      <c r="V455" s="9" t="str">
        <f>IF($A455="","",$L455-($L455*Settings!$B$2)-$J455-($B455+SUM($D455:$I455)))</f>
        <v/>
      </c>
      <c r="W455" s="9" t="str">
        <f>IF($A455="","",(($B455+SUM($D455:$I455)+$J455+Settings!$B$3)/(1-Settings!$B$2))-$M455)</f>
        <v/>
      </c>
      <c r="X455" s="10" t="str">
        <f t="shared" si="67"/>
        <v/>
      </c>
      <c r="Y455" s="10" t="str">
        <f t="shared" si="68"/>
        <v/>
      </c>
      <c r="Z455" s="10" t="str">
        <f t="shared" si="69"/>
        <v/>
      </c>
      <c r="AA455" s="10" t="str">
        <f t="shared" si="70"/>
        <v/>
      </c>
      <c r="AC455" s="11"/>
      <c r="AD455" s="11"/>
      <c r="AE455" s="12" t="str">
        <f t="shared" si="71"/>
        <v/>
      </c>
    </row>
    <row r="456" spans="2:31" x14ac:dyDescent="0.25">
      <c r="B456" s="9"/>
      <c r="C456" t="s">
        <v>31</v>
      </c>
      <c r="D456" s="9" t="str">
        <f>IF($A456="","",1*'Material Costs'!$D$3)</f>
        <v/>
      </c>
      <c r="E456" s="9" t="str">
        <f>IF($A456="","",1*'Material Costs'!$D$2)</f>
        <v/>
      </c>
      <c r="F456" s="9" t="str">
        <f>IF($A456="","",IF($C456="Bubble Mailer",2,1)*'Material Costs'!$D$6)</f>
        <v/>
      </c>
      <c r="G456" s="9" t="str">
        <f>IF($A456="","",1*'Material Costs'!$D$7)</f>
        <v/>
      </c>
      <c r="H456" s="9" t="str">
        <f>IF($A456="","",IF($C456="Bubble Mailer",1,0)*'Material Costs'!$D$5)</f>
        <v/>
      </c>
      <c r="I456" s="9" t="str">
        <f>IF($A456="","",IF($C456="ESE (Ding Defend)",1,0)*'Material Costs'!$D$4)</f>
        <v/>
      </c>
      <c r="J456" s="9"/>
      <c r="K456" s="9" t="str">
        <f t="shared" si="63"/>
        <v/>
      </c>
      <c r="L456" s="9"/>
      <c r="M456" s="9"/>
      <c r="N456" s="9"/>
      <c r="O456" s="9" t="str">
        <f t="shared" si="64"/>
        <v/>
      </c>
      <c r="P456" s="9"/>
      <c r="Q456" s="9" t="str">
        <f>IF($A456="","",IF($O456="", "", ROUND($O456*Settings!$B$2+Settings!$B$3,2)))</f>
        <v/>
      </c>
      <c r="R456" s="9" t="str">
        <f>IF($A456="","",IF($L456="", "", Settings!$B$4))</f>
        <v/>
      </c>
      <c r="S456" s="9" t="str">
        <f t="shared" si="65"/>
        <v/>
      </c>
      <c r="T456" s="9" t="str">
        <f t="shared" si="66"/>
        <v/>
      </c>
      <c r="U456" s="9" t="str">
        <f>IF($A456="","",IF($K456="", "", ROUND((($K456 + Settings!$B$3 + $R456) - IF($M456="",0,$M456))/(1-Settings!$B$2),2)))</f>
        <v/>
      </c>
      <c r="V456" s="9" t="str">
        <f>IF($A456="","",$L456-($L456*Settings!$B$2)-$J456-($B456+SUM($D456:$I456)))</f>
        <v/>
      </c>
      <c r="W456" s="9" t="str">
        <f>IF($A456="","",(($B456+SUM($D456:$I456)+$J456+Settings!$B$3)/(1-Settings!$B$2))-$M456)</f>
        <v/>
      </c>
      <c r="X456" s="10" t="str">
        <f t="shared" si="67"/>
        <v/>
      </c>
      <c r="Y456" s="10" t="str">
        <f t="shared" si="68"/>
        <v/>
      </c>
      <c r="Z456" s="10" t="str">
        <f t="shared" si="69"/>
        <v/>
      </c>
      <c r="AA456" s="10" t="str">
        <f t="shared" si="70"/>
        <v/>
      </c>
      <c r="AC456" s="11"/>
      <c r="AD456" s="11"/>
      <c r="AE456" s="12" t="str">
        <f t="shared" si="71"/>
        <v/>
      </c>
    </row>
    <row r="457" spans="2:31" x14ac:dyDescent="0.25">
      <c r="B457" s="9"/>
      <c r="C457" t="s">
        <v>31</v>
      </c>
      <c r="D457" s="9" t="str">
        <f>IF($A457="","",1*'Material Costs'!$D$3)</f>
        <v/>
      </c>
      <c r="E457" s="9" t="str">
        <f>IF($A457="","",1*'Material Costs'!$D$2)</f>
        <v/>
      </c>
      <c r="F457" s="9" t="str">
        <f>IF($A457="","",IF($C457="Bubble Mailer",2,1)*'Material Costs'!$D$6)</f>
        <v/>
      </c>
      <c r="G457" s="9" t="str">
        <f>IF($A457="","",1*'Material Costs'!$D$7)</f>
        <v/>
      </c>
      <c r="H457" s="9" t="str">
        <f>IF($A457="","",IF($C457="Bubble Mailer",1,0)*'Material Costs'!$D$5)</f>
        <v/>
      </c>
      <c r="I457" s="9" t="str">
        <f>IF($A457="","",IF($C457="ESE (Ding Defend)",1,0)*'Material Costs'!$D$4)</f>
        <v/>
      </c>
      <c r="J457" s="9"/>
      <c r="K457" s="9" t="str">
        <f t="shared" si="63"/>
        <v/>
      </c>
      <c r="L457" s="9"/>
      <c r="M457" s="9"/>
      <c r="N457" s="9"/>
      <c r="O457" s="9" t="str">
        <f t="shared" si="64"/>
        <v/>
      </c>
      <c r="P457" s="9"/>
      <c r="Q457" s="9" t="str">
        <f>IF($A457="","",IF($O457="", "", ROUND($O457*Settings!$B$2+Settings!$B$3,2)))</f>
        <v/>
      </c>
      <c r="R457" s="9" t="str">
        <f>IF($A457="","",IF($L457="", "", Settings!$B$4))</f>
        <v/>
      </c>
      <c r="S457" s="9" t="str">
        <f t="shared" si="65"/>
        <v/>
      </c>
      <c r="T457" s="9" t="str">
        <f t="shared" si="66"/>
        <v/>
      </c>
      <c r="U457" s="9" t="str">
        <f>IF($A457="","",IF($K457="", "", ROUND((($K457 + Settings!$B$3 + $R457) - IF($M457="",0,$M457))/(1-Settings!$B$2),2)))</f>
        <v/>
      </c>
      <c r="V457" s="9" t="str">
        <f>IF($A457="","",$L457-($L457*Settings!$B$2)-$J457-($B457+SUM($D457:$I457)))</f>
        <v/>
      </c>
      <c r="W457" s="9" t="str">
        <f>IF($A457="","",(($B457+SUM($D457:$I457)+$J457+Settings!$B$3)/(1-Settings!$B$2))-$M457)</f>
        <v/>
      </c>
      <c r="X457" s="10" t="str">
        <f t="shared" si="67"/>
        <v/>
      </c>
      <c r="Y457" s="10" t="str">
        <f t="shared" si="68"/>
        <v/>
      </c>
      <c r="Z457" s="10" t="str">
        <f t="shared" si="69"/>
        <v/>
      </c>
      <c r="AA457" s="10" t="str">
        <f t="shared" si="70"/>
        <v/>
      </c>
      <c r="AC457" s="11"/>
      <c r="AD457" s="11"/>
      <c r="AE457" s="12" t="str">
        <f t="shared" si="71"/>
        <v/>
      </c>
    </row>
    <row r="458" spans="2:31" x14ac:dyDescent="0.25">
      <c r="B458" s="9"/>
      <c r="C458" t="s">
        <v>31</v>
      </c>
      <c r="D458" s="9" t="str">
        <f>IF($A458="","",1*'Material Costs'!$D$3)</f>
        <v/>
      </c>
      <c r="E458" s="9" t="str">
        <f>IF($A458="","",1*'Material Costs'!$D$2)</f>
        <v/>
      </c>
      <c r="F458" s="9" t="str">
        <f>IF($A458="","",IF($C458="Bubble Mailer",2,1)*'Material Costs'!$D$6)</f>
        <v/>
      </c>
      <c r="G458" s="9" t="str">
        <f>IF($A458="","",1*'Material Costs'!$D$7)</f>
        <v/>
      </c>
      <c r="H458" s="9" t="str">
        <f>IF($A458="","",IF($C458="Bubble Mailer",1,0)*'Material Costs'!$D$5)</f>
        <v/>
      </c>
      <c r="I458" s="9" t="str">
        <f>IF($A458="","",IF($C458="ESE (Ding Defend)",1,0)*'Material Costs'!$D$4)</f>
        <v/>
      </c>
      <c r="J458" s="9"/>
      <c r="K458" s="9" t="str">
        <f t="shared" si="63"/>
        <v/>
      </c>
      <c r="L458" s="9"/>
      <c r="M458" s="9"/>
      <c r="N458" s="9"/>
      <c r="O458" s="9" t="str">
        <f t="shared" si="64"/>
        <v/>
      </c>
      <c r="P458" s="9"/>
      <c r="Q458" s="9" t="str">
        <f>IF($A458="","",IF($O458="", "", ROUND($O458*Settings!$B$2+Settings!$B$3,2)))</f>
        <v/>
      </c>
      <c r="R458" s="9" t="str">
        <f>IF($A458="","",IF($L458="", "", Settings!$B$4))</f>
        <v/>
      </c>
      <c r="S458" s="9" t="str">
        <f t="shared" si="65"/>
        <v/>
      </c>
      <c r="T458" s="9" t="str">
        <f t="shared" si="66"/>
        <v/>
      </c>
      <c r="U458" s="9" t="str">
        <f>IF($A458="","",IF($K458="", "", ROUND((($K458 + Settings!$B$3 + $R458) - IF($M458="",0,$M458))/(1-Settings!$B$2),2)))</f>
        <v/>
      </c>
      <c r="V458" s="9" t="str">
        <f>IF($A458="","",$L458-($L458*Settings!$B$2)-$J458-($B458+SUM($D458:$I458)))</f>
        <v/>
      </c>
      <c r="W458" s="9" t="str">
        <f>IF($A458="","",(($B458+SUM($D458:$I458)+$J458+Settings!$B$3)/(1-Settings!$B$2))-$M458)</f>
        <v/>
      </c>
      <c r="X458" s="10" t="str">
        <f t="shared" si="67"/>
        <v/>
      </c>
      <c r="Y458" s="10" t="str">
        <f t="shared" si="68"/>
        <v/>
      </c>
      <c r="Z458" s="10" t="str">
        <f t="shared" si="69"/>
        <v/>
      </c>
      <c r="AA458" s="10" t="str">
        <f t="shared" si="70"/>
        <v/>
      </c>
      <c r="AC458" s="11"/>
      <c r="AD458" s="11"/>
      <c r="AE458" s="12" t="str">
        <f t="shared" si="71"/>
        <v/>
      </c>
    </row>
    <row r="459" spans="2:31" x14ac:dyDescent="0.25">
      <c r="B459" s="9"/>
      <c r="C459" t="s">
        <v>31</v>
      </c>
      <c r="D459" s="9" t="str">
        <f>IF($A459="","",1*'Material Costs'!$D$3)</f>
        <v/>
      </c>
      <c r="E459" s="9" t="str">
        <f>IF($A459="","",1*'Material Costs'!$D$2)</f>
        <v/>
      </c>
      <c r="F459" s="9" t="str">
        <f>IF($A459="","",IF($C459="Bubble Mailer",2,1)*'Material Costs'!$D$6)</f>
        <v/>
      </c>
      <c r="G459" s="9" t="str">
        <f>IF($A459="","",1*'Material Costs'!$D$7)</f>
        <v/>
      </c>
      <c r="H459" s="9" t="str">
        <f>IF($A459="","",IF($C459="Bubble Mailer",1,0)*'Material Costs'!$D$5)</f>
        <v/>
      </c>
      <c r="I459" s="9" t="str">
        <f>IF($A459="","",IF($C459="ESE (Ding Defend)",1,0)*'Material Costs'!$D$4)</f>
        <v/>
      </c>
      <c r="J459" s="9"/>
      <c r="K459" s="9" t="str">
        <f t="shared" si="63"/>
        <v/>
      </c>
      <c r="L459" s="9"/>
      <c r="M459" s="9"/>
      <c r="N459" s="9"/>
      <c r="O459" s="9" t="str">
        <f t="shared" si="64"/>
        <v/>
      </c>
      <c r="P459" s="9"/>
      <c r="Q459" s="9" t="str">
        <f>IF($A459="","",IF($O459="", "", ROUND($O459*Settings!$B$2+Settings!$B$3,2)))</f>
        <v/>
      </c>
      <c r="R459" s="9" t="str">
        <f>IF($A459="","",IF($L459="", "", Settings!$B$4))</f>
        <v/>
      </c>
      <c r="S459" s="9" t="str">
        <f t="shared" si="65"/>
        <v/>
      </c>
      <c r="T459" s="9" t="str">
        <f t="shared" si="66"/>
        <v/>
      </c>
      <c r="U459" s="9" t="str">
        <f>IF($A459="","",IF($K459="", "", ROUND((($K459 + Settings!$B$3 + $R459) - IF($M459="",0,$M459))/(1-Settings!$B$2),2)))</f>
        <v/>
      </c>
      <c r="V459" s="9" t="str">
        <f>IF($A459="","",$L459-($L459*Settings!$B$2)-$J459-($B459+SUM($D459:$I459)))</f>
        <v/>
      </c>
      <c r="W459" s="9" t="str">
        <f>IF($A459="","",(($B459+SUM($D459:$I459)+$J459+Settings!$B$3)/(1-Settings!$B$2))-$M459)</f>
        <v/>
      </c>
      <c r="X459" s="10" t="str">
        <f t="shared" si="67"/>
        <v/>
      </c>
      <c r="Y459" s="10" t="str">
        <f t="shared" si="68"/>
        <v/>
      </c>
      <c r="Z459" s="10" t="str">
        <f t="shared" si="69"/>
        <v/>
      </c>
      <c r="AA459" s="10" t="str">
        <f t="shared" si="70"/>
        <v/>
      </c>
      <c r="AC459" s="11"/>
      <c r="AD459" s="11"/>
      <c r="AE459" s="12" t="str">
        <f t="shared" si="71"/>
        <v/>
      </c>
    </row>
    <row r="460" spans="2:31" x14ac:dyDescent="0.25">
      <c r="B460" s="9"/>
      <c r="C460" t="s">
        <v>31</v>
      </c>
      <c r="D460" s="9" t="str">
        <f>IF($A460="","",1*'Material Costs'!$D$3)</f>
        <v/>
      </c>
      <c r="E460" s="9" t="str">
        <f>IF($A460="","",1*'Material Costs'!$D$2)</f>
        <v/>
      </c>
      <c r="F460" s="9" t="str">
        <f>IF($A460="","",IF($C460="Bubble Mailer",2,1)*'Material Costs'!$D$6)</f>
        <v/>
      </c>
      <c r="G460" s="9" t="str">
        <f>IF($A460="","",1*'Material Costs'!$D$7)</f>
        <v/>
      </c>
      <c r="H460" s="9" t="str">
        <f>IF($A460="","",IF($C460="Bubble Mailer",1,0)*'Material Costs'!$D$5)</f>
        <v/>
      </c>
      <c r="I460" s="9" t="str">
        <f>IF($A460="","",IF($C460="ESE (Ding Defend)",1,0)*'Material Costs'!$D$4)</f>
        <v/>
      </c>
      <c r="J460" s="9"/>
      <c r="K460" s="9" t="str">
        <f t="shared" si="63"/>
        <v/>
      </c>
      <c r="L460" s="9"/>
      <c r="M460" s="9"/>
      <c r="N460" s="9"/>
      <c r="O460" s="9" t="str">
        <f t="shared" si="64"/>
        <v/>
      </c>
      <c r="P460" s="9"/>
      <c r="Q460" s="9" t="str">
        <f>IF($A460="","",IF($O460="", "", ROUND($O460*Settings!$B$2+Settings!$B$3,2)))</f>
        <v/>
      </c>
      <c r="R460" s="9" t="str">
        <f>IF($A460="","",IF($L460="", "", Settings!$B$4))</f>
        <v/>
      </c>
      <c r="S460" s="9" t="str">
        <f t="shared" si="65"/>
        <v/>
      </c>
      <c r="T460" s="9" t="str">
        <f t="shared" si="66"/>
        <v/>
      </c>
      <c r="U460" s="9" t="str">
        <f>IF($A460="","",IF($K460="", "", ROUND((($K460 + Settings!$B$3 + $R460) - IF($M460="",0,$M460))/(1-Settings!$B$2),2)))</f>
        <v/>
      </c>
      <c r="V460" s="9" t="str">
        <f>IF($A460="","",$L460-($L460*Settings!$B$2)-$J460-($B460+SUM($D460:$I460)))</f>
        <v/>
      </c>
      <c r="W460" s="9" t="str">
        <f>IF($A460="","",(($B460+SUM($D460:$I460)+$J460+Settings!$B$3)/(1-Settings!$B$2))-$M460)</f>
        <v/>
      </c>
      <c r="X460" s="10" t="str">
        <f t="shared" si="67"/>
        <v/>
      </c>
      <c r="Y460" s="10" t="str">
        <f t="shared" si="68"/>
        <v/>
      </c>
      <c r="Z460" s="10" t="str">
        <f t="shared" si="69"/>
        <v/>
      </c>
      <c r="AA460" s="10" t="str">
        <f t="shared" si="70"/>
        <v/>
      </c>
      <c r="AC460" s="11"/>
      <c r="AD460" s="11"/>
      <c r="AE460" s="12" t="str">
        <f t="shared" si="71"/>
        <v/>
      </c>
    </row>
    <row r="461" spans="2:31" x14ac:dyDescent="0.25">
      <c r="B461" s="9"/>
      <c r="C461" t="s">
        <v>31</v>
      </c>
      <c r="D461" s="9" t="str">
        <f>IF($A461="","",1*'Material Costs'!$D$3)</f>
        <v/>
      </c>
      <c r="E461" s="9" t="str">
        <f>IF($A461="","",1*'Material Costs'!$D$2)</f>
        <v/>
      </c>
      <c r="F461" s="9" t="str">
        <f>IF($A461="","",IF($C461="Bubble Mailer",2,1)*'Material Costs'!$D$6)</f>
        <v/>
      </c>
      <c r="G461" s="9" t="str">
        <f>IF($A461="","",1*'Material Costs'!$D$7)</f>
        <v/>
      </c>
      <c r="H461" s="9" t="str">
        <f>IF($A461="","",IF($C461="Bubble Mailer",1,0)*'Material Costs'!$D$5)</f>
        <v/>
      </c>
      <c r="I461" s="9" t="str">
        <f>IF($A461="","",IF($C461="ESE (Ding Defend)",1,0)*'Material Costs'!$D$4)</f>
        <v/>
      </c>
      <c r="J461" s="9"/>
      <c r="K461" s="9" t="str">
        <f t="shared" si="63"/>
        <v/>
      </c>
      <c r="L461" s="9"/>
      <c r="M461" s="9"/>
      <c r="N461" s="9"/>
      <c r="O461" s="9" t="str">
        <f t="shared" si="64"/>
        <v/>
      </c>
      <c r="P461" s="9"/>
      <c r="Q461" s="9" t="str">
        <f>IF($A461="","",IF($O461="", "", ROUND($O461*Settings!$B$2+Settings!$B$3,2)))</f>
        <v/>
      </c>
      <c r="R461" s="9" t="str">
        <f>IF($A461="","",IF($L461="", "", Settings!$B$4))</f>
        <v/>
      </c>
      <c r="S461" s="9" t="str">
        <f t="shared" si="65"/>
        <v/>
      </c>
      <c r="T461" s="9" t="str">
        <f t="shared" si="66"/>
        <v/>
      </c>
      <c r="U461" s="9" t="str">
        <f>IF($A461="","",IF($K461="", "", ROUND((($K461 + Settings!$B$3 + $R461) - IF($M461="",0,$M461))/(1-Settings!$B$2),2)))</f>
        <v/>
      </c>
      <c r="V461" s="9" t="str">
        <f>IF($A461="","",$L461-($L461*Settings!$B$2)-$J461-($B461+SUM($D461:$I461)))</f>
        <v/>
      </c>
      <c r="W461" s="9" t="str">
        <f>IF($A461="","",(($B461+SUM($D461:$I461)+$J461+Settings!$B$3)/(1-Settings!$B$2))-$M461)</f>
        <v/>
      </c>
      <c r="X461" s="10" t="str">
        <f t="shared" si="67"/>
        <v/>
      </c>
      <c r="Y461" s="10" t="str">
        <f t="shared" si="68"/>
        <v/>
      </c>
      <c r="Z461" s="10" t="str">
        <f t="shared" si="69"/>
        <v/>
      </c>
      <c r="AA461" s="10" t="str">
        <f t="shared" si="70"/>
        <v/>
      </c>
      <c r="AC461" s="11"/>
      <c r="AD461" s="11"/>
      <c r="AE461" s="12" t="str">
        <f t="shared" si="71"/>
        <v/>
      </c>
    </row>
    <row r="462" spans="2:31" x14ac:dyDescent="0.25">
      <c r="B462" s="9"/>
      <c r="C462" t="s">
        <v>31</v>
      </c>
      <c r="D462" s="9" t="str">
        <f>IF($A462="","",1*'Material Costs'!$D$3)</f>
        <v/>
      </c>
      <c r="E462" s="9" t="str">
        <f>IF($A462="","",1*'Material Costs'!$D$2)</f>
        <v/>
      </c>
      <c r="F462" s="9" t="str">
        <f>IF($A462="","",IF($C462="Bubble Mailer",2,1)*'Material Costs'!$D$6)</f>
        <v/>
      </c>
      <c r="G462" s="9" t="str">
        <f>IF($A462="","",1*'Material Costs'!$D$7)</f>
        <v/>
      </c>
      <c r="H462" s="9" t="str">
        <f>IF($A462="","",IF($C462="Bubble Mailer",1,0)*'Material Costs'!$D$5)</f>
        <v/>
      </c>
      <c r="I462" s="9" t="str">
        <f>IF($A462="","",IF($C462="ESE (Ding Defend)",1,0)*'Material Costs'!$D$4)</f>
        <v/>
      </c>
      <c r="J462" s="9"/>
      <c r="K462" s="9" t="str">
        <f t="shared" si="63"/>
        <v/>
      </c>
      <c r="L462" s="9"/>
      <c r="M462" s="9"/>
      <c r="N462" s="9"/>
      <c r="O462" s="9" t="str">
        <f t="shared" si="64"/>
        <v/>
      </c>
      <c r="P462" s="9"/>
      <c r="Q462" s="9" t="str">
        <f>IF($A462="","",IF($O462="", "", ROUND($O462*Settings!$B$2+Settings!$B$3,2)))</f>
        <v/>
      </c>
      <c r="R462" s="9" t="str">
        <f>IF($A462="","",IF($L462="", "", Settings!$B$4))</f>
        <v/>
      </c>
      <c r="S462" s="9" t="str">
        <f t="shared" si="65"/>
        <v/>
      </c>
      <c r="T462" s="9" t="str">
        <f t="shared" si="66"/>
        <v/>
      </c>
      <c r="U462" s="9" t="str">
        <f>IF($A462="","",IF($K462="", "", ROUND((($K462 + Settings!$B$3 + $R462) - IF($M462="",0,$M462))/(1-Settings!$B$2),2)))</f>
        <v/>
      </c>
      <c r="V462" s="9" t="str">
        <f>IF($A462="","",$L462-($L462*Settings!$B$2)-$J462-($B462+SUM($D462:$I462)))</f>
        <v/>
      </c>
      <c r="W462" s="9" t="str">
        <f>IF($A462="","",(($B462+SUM($D462:$I462)+$J462+Settings!$B$3)/(1-Settings!$B$2))-$M462)</f>
        <v/>
      </c>
      <c r="X462" s="10" t="str">
        <f t="shared" si="67"/>
        <v/>
      </c>
      <c r="Y462" s="10" t="str">
        <f t="shared" si="68"/>
        <v/>
      </c>
      <c r="Z462" s="10" t="str">
        <f t="shared" si="69"/>
        <v/>
      </c>
      <c r="AA462" s="10" t="str">
        <f t="shared" si="70"/>
        <v/>
      </c>
      <c r="AC462" s="11"/>
      <c r="AD462" s="11"/>
      <c r="AE462" s="12" t="str">
        <f t="shared" si="71"/>
        <v/>
      </c>
    </row>
    <row r="463" spans="2:31" x14ac:dyDescent="0.25">
      <c r="B463" s="9"/>
      <c r="C463" t="s">
        <v>31</v>
      </c>
      <c r="D463" s="9" t="str">
        <f>IF($A463="","",1*'Material Costs'!$D$3)</f>
        <v/>
      </c>
      <c r="E463" s="9" t="str">
        <f>IF($A463="","",1*'Material Costs'!$D$2)</f>
        <v/>
      </c>
      <c r="F463" s="9" t="str">
        <f>IF($A463="","",IF($C463="Bubble Mailer",2,1)*'Material Costs'!$D$6)</f>
        <v/>
      </c>
      <c r="G463" s="9" t="str">
        <f>IF($A463="","",1*'Material Costs'!$D$7)</f>
        <v/>
      </c>
      <c r="H463" s="9" t="str">
        <f>IF($A463="","",IF($C463="Bubble Mailer",1,0)*'Material Costs'!$D$5)</f>
        <v/>
      </c>
      <c r="I463" s="9" t="str">
        <f>IF($A463="","",IF($C463="ESE (Ding Defend)",1,0)*'Material Costs'!$D$4)</f>
        <v/>
      </c>
      <c r="J463" s="9"/>
      <c r="K463" s="9" t="str">
        <f t="shared" si="63"/>
        <v/>
      </c>
      <c r="L463" s="9"/>
      <c r="M463" s="9"/>
      <c r="N463" s="9"/>
      <c r="O463" s="9" t="str">
        <f t="shared" si="64"/>
        <v/>
      </c>
      <c r="P463" s="9"/>
      <c r="Q463" s="9" t="str">
        <f>IF($A463="","",IF($O463="", "", ROUND($O463*Settings!$B$2+Settings!$B$3,2)))</f>
        <v/>
      </c>
      <c r="R463" s="9" t="str">
        <f>IF($A463="","",IF($L463="", "", Settings!$B$4))</f>
        <v/>
      </c>
      <c r="S463" s="9" t="str">
        <f t="shared" si="65"/>
        <v/>
      </c>
      <c r="T463" s="9" t="str">
        <f t="shared" si="66"/>
        <v/>
      </c>
      <c r="U463" s="9" t="str">
        <f>IF($A463="","",IF($K463="", "", ROUND((($K463 + Settings!$B$3 + $R463) - IF($M463="",0,$M463))/(1-Settings!$B$2),2)))</f>
        <v/>
      </c>
      <c r="V463" s="9" t="str">
        <f>IF($A463="","",$L463-($L463*Settings!$B$2)-$J463-($B463+SUM($D463:$I463)))</f>
        <v/>
      </c>
      <c r="W463" s="9" t="str">
        <f>IF($A463="","",(($B463+SUM($D463:$I463)+$J463+Settings!$B$3)/(1-Settings!$B$2))-$M463)</f>
        <v/>
      </c>
      <c r="X463" s="10" t="str">
        <f t="shared" si="67"/>
        <v/>
      </c>
      <c r="Y463" s="10" t="str">
        <f t="shared" si="68"/>
        <v/>
      </c>
      <c r="Z463" s="10" t="str">
        <f t="shared" si="69"/>
        <v/>
      </c>
      <c r="AA463" s="10" t="str">
        <f t="shared" si="70"/>
        <v/>
      </c>
      <c r="AC463" s="11"/>
      <c r="AD463" s="11"/>
      <c r="AE463" s="12" t="str">
        <f t="shared" si="71"/>
        <v/>
      </c>
    </row>
    <row r="464" spans="2:31" x14ac:dyDescent="0.25">
      <c r="B464" s="9"/>
      <c r="C464" t="s">
        <v>31</v>
      </c>
      <c r="D464" s="9" t="str">
        <f>IF($A464="","",1*'Material Costs'!$D$3)</f>
        <v/>
      </c>
      <c r="E464" s="9" t="str">
        <f>IF($A464="","",1*'Material Costs'!$D$2)</f>
        <v/>
      </c>
      <c r="F464" s="9" t="str">
        <f>IF($A464="","",IF($C464="Bubble Mailer",2,1)*'Material Costs'!$D$6)</f>
        <v/>
      </c>
      <c r="G464" s="9" t="str">
        <f>IF($A464="","",1*'Material Costs'!$D$7)</f>
        <v/>
      </c>
      <c r="H464" s="9" t="str">
        <f>IF($A464="","",IF($C464="Bubble Mailer",1,0)*'Material Costs'!$D$5)</f>
        <v/>
      </c>
      <c r="I464" s="9" t="str">
        <f>IF($A464="","",IF($C464="ESE (Ding Defend)",1,0)*'Material Costs'!$D$4)</f>
        <v/>
      </c>
      <c r="J464" s="9"/>
      <c r="K464" s="9" t="str">
        <f t="shared" si="63"/>
        <v/>
      </c>
      <c r="L464" s="9"/>
      <c r="M464" s="9"/>
      <c r="N464" s="9"/>
      <c r="O464" s="9" t="str">
        <f t="shared" si="64"/>
        <v/>
      </c>
      <c r="P464" s="9"/>
      <c r="Q464" s="9" t="str">
        <f>IF($A464="","",IF($O464="", "", ROUND($O464*Settings!$B$2+Settings!$B$3,2)))</f>
        <v/>
      </c>
      <c r="R464" s="9" t="str">
        <f>IF($A464="","",IF($L464="", "", Settings!$B$4))</f>
        <v/>
      </c>
      <c r="S464" s="9" t="str">
        <f t="shared" si="65"/>
        <v/>
      </c>
      <c r="T464" s="9" t="str">
        <f t="shared" si="66"/>
        <v/>
      </c>
      <c r="U464" s="9" t="str">
        <f>IF($A464="","",IF($K464="", "", ROUND((($K464 + Settings!$B$3 + $R464) - IF($M464="",0,$M464))/(1-Settings!$B$2),2)))</f>
        <v/>
      </c>
      <c r="V464" s="9" t="str">
        <f>IF($A464="","",$L464-($L464*Settings!$B$2)-$J464-($B464+SUM($D464:$I464)))</f>
        <v/>
      </c>
      <c r="W464" s="9" t="str">
        <f>IF($A464="","",(($B464+SUM($D464:$I464)+$J464+Settings!$B$3)/(1-Settings!$B$2))-$M464)</f>
        <v/>
      </c>
      <c r="X464" s="10" t="str">
        <f t="shared" si="67"/>
        <v/>
      </c>
      <c r="Y464" s="10" t="str">
        <f t="shared" si="68"/>
        <v/>
      </c>
      <c r="Z464" s="10" t="str">
        <f t="shared" si="69"/>
        <v/>
      </c>
      <c r="AA464" s="10" t="str">
        <f t="shared" si="70"/>
        <v/>
      </c>
      <c r="AC464" s="11"/>
      <c r="AD464" s="11"/>
      <c r="AE464" s="12" t="str">
        <f t="shared" si="71"/>
        <v/>
      </c>
    </row>
    <row r="465" spans="2:31" x14ac:dyDescent="0.25">
      <c r="B465" s="9"/>
      <c r="C465" t="s">
        <v>31</v>
      </c>
      <c r="D465" s="9" t="str">
        <f>IF($A465="","",1*'Material Costs'!$D$3)</f>
        <v/>
      </c>
      <c r="E465" s="9" t="str">
        <f>IF($A465="","",1*'Material Costs'!$D$2)</f>
        <v/>
      </c>
      <c r="F465" s="9" t="str">
        <f>IF($A465="","",IF($C465="Bubble Mailer",2,1)*'Material Costs'!$D$6)</f>
        <v/>
      </c>
      <c r="G465" s="9" t="str">
        <f>IF($A465="","",1*'Material Costs'!$D$7)</f>
        <v/>
      </c>
      <c r="H465" s="9" t="str">
        <f>IF($A465="","",IF($C465="Bubble Mailer",1,0)*'Material Costs'!$D$5)</f>
        <v/>
      </c>
      <c r="I465" s="9" t="str">
        <f>IF($A465="","",IF($C465="ESE (Ding Defend)",1,0)*'Material Costs'!$D$4)</f>
        <v/>
      </c>
      <c r="J465" s="9"/>
      <c r="K465" s="9" t="str">
        <f t="shared" si="63"/>
        <v/>
      </c>
      <c r="L465" s="9"/>
      <c r="M465" s="9"/>
      <c r="N465" s="9"/>
      <c r="O465" s="9" t="str">
        <f t="shared" si="64"/>
        <v/>
      </c>
      <c r="P465" s="9"/>
      <c r="Q465" s="9" t="str">
        <f>IF($A465="","",IF($O465="", "", ROUND($O465*Settings!$B$2+Settings!$B$3,2)))</f>
        <v/>
      </c>
      <c r="R465" s="9" t="str">
        <f>IF($A465="","",IF($L465="", "", Settings!$B$4))</f>
        <v/>
      </c>
      <c r="S465" s="9" t="str">
        <f t="shared" si="65"/>
        <v/>
      </c>
      <c r="T465" s="9" t="str">
        <f t="shared" si="66"/>
        <v/>
      </c>
      <c r="U465" s="9" t="str">
        <f>IF($A465="","",IF($K465="", "", ROUND((($K465 + Settings!$B$3 + $R465) - IF($M465="",0,$M465))/(1-Settings!$B$2),2)))</f>
        <v/>
      </c>
      <c r="V465" s="9" t="str">
        <f>IF($A465="","",$L465-($L465*Settings!$B$2)-$J465-($B465+SUM($D465:$I465)))</f>
        <v/>
      </c>
      <c r="W465" s="9" t="str">
        <f>IF($A465="","",(($B465+SUM($D465:$I465)+$J465+Settings!$B$3)/(1-Settings!$B$2))-$M465)</f>
        <v/>
      </c>
      <c r="X465" s="10" t="str">
        <f t="shared" si="67"/>
        <v/>
      </c>
      <c r="Y465" s="10" t="str">
        <f t="shared" si="68"/>
        <v/>
      </c>
      <c r="Z465" s="10" t="str">
        <f t="shared" si="69"/>
        <v/>
      </c>
      <c r="AA465" s="10" t="str">
        <f t="shared" si="70"/>
        <v/>
      </c>
      <c r="AC465" s="11"/>
      <c r="AD465" s="11"/>
      <c r="AE465" s="12" t="str">
        <f t="shared" si="71"/>
        <v/>
      </c>
    </row>
    <row r="466" spans="2:31" x14ac:dyDescent="0.25">
      <c r="B466" s="9"/>
      <c r="C466" t="s">
        <v>31</v>
      </c>
      <c r="D466" s="9" t="str">
        <f>IF($A466="","",1*'Material Costs'!$D$3)</f>
        <v/>
      </c>
      <c r="E466" s="9" t="str">
        <f>IF($A466="","",1*'Material Costs'!$D$2)</f>
        <v/>
      </c>
      <c r="F466" s="9" t="str">
        <f>IF($A466="","",IF($C466="Bubble Mailer",2,1)*'Material Costs'!$D$6)</f>
        <v/>
      </c>
      <c r="G466" s="9" t="str">
        <f>IF($A466="","",1*'Material Costs'!$D$7)</f>
        <v/>
      </c>
      <c r="H466" s="9" t="str">
        <f>IF($A466="","",IF($C466="Bubble Mailer",1,0)*'Material Costs'!$D$5)</f>
        <v/>
      </c>
      <c r="I466" s="9" t="str">
        <f>IF($A466="","",IF($C466="ESE (Ding Defend)",1,0)*'Material Costs'!$D$4)</f>
        <v/>
      </c>
      <c r="J466" s="9"/>
      <c r="K466" s="9" t="str">
        <f t="shared" si="63"/>
        <v/>
      </c>
      <c r="L466" s="9"/>
      <c r="M466" s="9"/>
      <c r="N466" s="9"/>
      <c r="O466" s="9" t="str">
        <f t="shared" si="64"/>
        <v/>
      </c>
      <c r="P466" s="9"/>
      <c r="Q466" s="9" t="str">
        <f>IF($A466="","",IF($O466="", "", ROUND($O466*Settings!$B$2+Settings!$B$3,2)))</f>
        <v/>
      </c>
      <c r="R466" s="9" t="str">
        <f>IF($A466="","",IF($L466="", "", Settings!$B$4))</f>
        <v/>
      </c>
      <c r="S466" s="9" t="str">
        <f t="shared" si="65"/>
        <v/>
      </c>
      <c r="T466" s="9" t="str">
        <f t="shared" si="66"/>
        <v/>
      </c>
      <c r="U466" s="9" t="str">
        <f>IF($A466="","",IF($K466="", "", ROUND((($K466 + Settings!$B$3 + $R466) - IF($M466="",0,$M466))/(1-Settings!$B$2),2)))</f>
        <v/>
      </c>
      <c r="V466" s="9" t="str">
        <f>IF($A466="","",$L466-($L466*Settings!$B$2)-$J466-($B466+SUM($D466:$I466)))</f>
        <v/>
      </c>
      <c r="W466" s="9" t="str">
        <f>IF($A466="","",(($B466+SUM($D466:$I466)+$J466+Settings!$B$3)/(1-Settings!$B$2))-$M466)</f>
        <v/>
      </c>
      <c r="X466" s="10" t="str">
        <f t="shared" si="67"/>
        <v/>
      </c>
      <c r="Y466" s="10" t="str">
        <f t="shared" si="68"/>
        <v/>
      </c>
      <c r="Z466" s="10" t="str">
        <f t="shared" si="69"/>
        <v/>
      </c>
      <c r="AA466" s="10" t="str">
        <f t="shared" si="70"/>
        <v/>
      </c>
      <c r="AC466" s="11"/>
      <c r="AD466" s="11"/>
      <c r="AE466" s="12" t="str">
        <f t="shared" si="71"/>
        <v/>
      </c>
    </row>
    <row r="467" spans="2:31" x14ac:dyDescent="0.25">
      <c r="B467" s="9"/>
      <c r="C467" t="s">
        <v>31</v>
      </c>
      <c r="D467" s="9" t="str">
        <f>IF($A467="","",1*'Material Costs'!$D$3)</f>
        <v/>
      </c>
      <c r="E467" s="9" t="str">
        <f>IF($A467="","",1*'Material Costs'!$D$2)</f>
        <v/>
      </c>
      <c r="F467" s="9" t="str">
        <f>IF($A467="","",IF($C467="Bubble Mailer",2,1)*'Material Costs'!$D$6)</f>
        <v/>
      </c>
      <c r="G467" s="9" t="str">
        <f>IF($A467="","",1*'Material Costs'!$D$7)</f>
        <v/>
      </c>
      <c r="H467" s="9" t="str">
        <f>IF($A467="","",IF($C467="Bubble Mailer",1,0)*'Material Costs'!$D$5)</f>
        <v/>
      </c>
      <c r="I467" s="9" t="str">
        <f>IF($A467="","",IF($C467="ESE (Ding Defend)",1,0)*'Material Costs'!$D$4)</f>
        <v/>
      </c>
      <c r="J467" s="9"/>
      <c r="K467" s="9" t="str">
        <f t="shared" si="63"/>
        <v/>
      </c>
      <c r="L467" s="9"/>
      <c r="M467" s="9"/>
      <c r="N467" s="9"/>
      <c r="O467" s="9" t="str">
        <f t="shared" si="64"/>
        <v/>
      </c>
      <c r="P467" s="9"/>
      <c r="Q467" s="9" t="str">
        <f>IF($A467="","",IF($O467="", "", ROUND($O467*Settings!$B$2+Settings!$B$3,2)))</f>
        <v/>
      </c>
      <c r="R467" s="9" t="str">
        <f>IF($A467="","",IF($L467="", "", Settings!$B$4))</f>
        <v/>
      </c>
      <c r="S467" s="9" t="str">
        <f t="shared" si="65"/>
        <v/>
      </c>
      <c r="T467" s="9" t="str">
        <f t="shared" si="66"/>
        <v/>
      </c>
      <c r="U467" s="9" t="str">
        <f>IF($A467="","",IF($K467="", "", ROUND((($K467 + Settings!$B$3 + $R467) - IF($M467="",0,$M467))/(1-Settings!$B$2),2)))</f>
        <v/>
      </c>
      <c r="V467" s="9" t="str">
        <f>IF($A467="","",$L467-($L467*Settings!$B$2)-$J467-($B467+SUM($D467:$I467)))</f>
        <v/>
      </c>
      <c r="W467" s="9" t="str">
        <f>IF($A467="","",(($B467+SUM($D467:$I467)+$J467+Settings!$B$3)/(1-Settings!$B$2))-$M467)</f>
        <v/>
      </c>
      <c r="X467" s="10" t="str">
        <f t="shared" si="67"/>
        <v/>
      </c>
      <c r="Y467" s="10" t="str">
        <f t="shared" si="68"/>
        <v/>
      </c>
      <c r="Z467" s="10" t="str">
        <f t="shared" si="69"/>
        <v/>
      </c>
      <c r="AA467" s="10" t="str">
        <f t="shared" si="70"/>
        <v/>
      </c>
      <c r="AC467" s="11"/>
      <c r="AD467" s="11"/>
      <c r="AE467" s="12" t="str">
        <f t="shared" si="71"/>
        <v/>
      </c>
    </row>
    <row r="468" spans="2:31" x14ac:dyDescent="0.25">
      <c r="B468" s="9"/>
      <c r="C468" t="s">
        <v>31</v>
      </c>
      <c r="D468" s="9" t="str">
        <f>IF($A468="","",1*'Material Costs'!$D$3)</f>
        <v/>
      </c>
      <c r="E468" s="9" t="str">
        <f>IF($A468="","",1*'Material Costs'!$D$2)</f>
        <v/>
      </c>
      <c r="F468" s="9" t="str">
        <f>IF($A468="","",IF($C468="Bubble Mailer",2,1)*'Material Costs'!$D$6)</f>
        <v/>
      </c>
      <c r="G468" s="9" t="str">
        <f>IF($A468="","",1*'Material Costs'!$D$7)</f>
        <v/>
      </c>
      <c r="H468" s="9" t="str">
        <f>IF($A468="","",IF($C468="Bubble Mailer",1,0)*'Material Costs'!$D$5)</f>
        <v/>
      </c>
      <c r="I468" s="9" t="str">
        <f>IF($A468="","",IF($C468="ESE (Ding Defend)",1,0)*'Material Costs'!$D$4)</f>
        <v/>
      </c>
      <c r="J468" s="9"/>
      <c r="K468" s="9" t="str">
        <f t="shared" si="63"/>
        <v/>
      </c>
      <c r="L468" s="9"/>
      <c r="M468" s="9"/>
      <c r="N468" s="9"/>
      <c r="O468" s="9" t="str">
        <f t="shared" si="64"/>
        <v/>
      </c>
      <c r="P468" s="9"/>
      <c r="Q468" s="9" t="str">
        <f>IF($A468="","",IF($O468="", "", ROUND($O468*Settings!$B$2+Settings!$B$3,2)))</f>
        <v/>
      </c>
      <c r="R468" s="9" t="str">
        <f>IF($A468="","",IF($L468="", "", Settings!$B$4))</f>
        <v/>
      </c>
      <c r="S468" s="9" t="str">
        <f t="shared" si="65"/>
        <v/>
      </c>
      <c r="T468" s="9" t="str">
        <f t="shared" si="66"/>
        <v/>
      </c>
      <c r="U468" s="9" t="str">
        <f>IF($A468="","",IF($K468="", "", ROUND((($K468 + Settings!$B$3 + $R468) - IF($M468="",0,$M468))/(1-Settings!$B$2),2)))</f>
        <v/>
      </c>
      <c r="V468" s="9" t="str">
        <f>IF($A468="","",$L468-($L468*Settings!$B$2)-$J468-($B468+SUM($D468:$I468)))</f>
        <v/>
      </c>
      <c r="W468" s="9" t="str">
        <f>IF($A468="","",(($B468+SUM($D468:$I468)+$J468+Settings!$B$3)/(1-Settings!$B$2))-$M468)</f>
        <v/>
      </c>
      <c r="X468" s="10" t="str">
        <f t="shared" si="67"/>
        <v/>
      </c>
      <c r="Y468" s="10" t="str">
        <f t="shared" si="68"/>
        <v/>
      </c>
      <c r="Z468" s="10" t="str">
        <f t="shared" si="69"/>
        <v/>
      </c>
      <c r="AA468" s="10" t="str">
        <f t="shared" si="70"/>
        <v/>
      </c>
      <c r="AC468" s="11"/>
      <c r="AD468" s="11"/>
      <c r="AE468" s="12" t="str">
        <f t="shared" si="71"/>
        <v/>
      </c>
    </row>
    <row r="469" spans="2:31" x14ac:dyDescent="0.25">
      <c r="B469" s="9"/>
      <c r="C469" t="s">
        <v>31</v>
      </c>
      <c r="D469" s="9" t="str">
        <f>IF($A469="","",1*'Material Costs'!$D$3)</f>
        <v/>
      </c>
      <c r="E469" s="9" t="str">
        <f>IF($A469="","",1*'Material Costs'!$D$2)</f>
        <v/>
      </c>
      <c r="F469" s="9" t="str">
        <f>IF($A469="","",IF($C469="Bubble Mailer",2,1)*'Material Costs'!$D$6)</f>
        <v/>
      </c>
      <c r="G469" s="9" t="str">
        <f>IF($A469="","",1*'Material Costs'!$D$7)</f>
        <v/>
      </c>
      <c r="H469" s="9" t="str">
        <f>IF($A469="","",IF($C469="Bubble Mailer",1,0)*'Material Costs'!$D$5)</f>
        <v/>
      </c>
      <c r="I469" s="9" t="str">
        <f>IF($A469="","",IF($C469="ESE (Ding Defend)",1,0)*'Material Costs'!$D$4)</f>
        <v/>
      </c>
      <c r="J469" s="9"/>
      <c r="K469" s="9" t="str">
        <f t="shared" si="63"/>
        <v/>
      </c>
      <c r="L469" s="9"/>
      <c r="M469" s="9"/>
      <c r="N469" s="9"/>
      <c r="O469" s="9" t="str">
        <f t="shared" si="64"/>
        <v/>
      </c>
      <c r="P469" s="9"/>
      <c r="Q469" s="9" t="str">
        <f>IF($A469="","",IF($O469="", "", ROUND($O469*Settings!$B$2+Settings!$B$3,2)))</f>
        <v/>
      </c>
      <c r="R469" s="9" t="str">
        <f>IF($A469="","",IF($L469="", "", Settings!$B$4))</f>
        <v/>
      </c>
      <c r="S469" s="9" t="str">
        <f t="shared" si="65"/>
        <v/>
      </c>
      <c r="T469" s="9" t="str">
        <f t="shared" si="66"/>
        <v/>
      </c>
      <c r="U469" s="9" t="str">
        <f>IF($A469="","",IF($K469="", "", ROUND((($K469 + Settings!$B$3 + $R469) - IF($M469="",0,$M469))/(1-Settings!$B$2),2)))</f>
        <v/>
      </c>
      <c r="V469" s="9" t="str">
        <f>IF($A469="","",$L469-($L469*Settings!$B$2)-$J469-($B469+SUM($D469:$I469)))</f>
        <v/>
      </c>
      <c r="W469" s="9" t="str">
        <f>IF($A469="","",(($B469+SUM($D469:$I469)+$J469+Settings!$B$3)/(1-Settings!$B$2))-$M469)</f>
        <v/>
      </c>
      <c r="X469" s="10" t="str">
        <f t="shared" si="67"/>
        <v/>
      </c>
      <c r="Y469" s="10" t="str">
        <f t="shared" si="68"/>
        <v/>
      </c>
      <c r="Z469" s="10" t="str">
        <f t="shared" si="69"/>
        <v/>
      </c>
      <c r="AA469" s="10" t="str">
        <f t="shared" si="70"/>
        <v/>
      </c>
      <c r="AC469" s="11"/>
      <c r="AD469" s="11"/>
      <c r="AE469" s="12" t="str">
        <f t="shared" si="71"/>
        <v/>
      </c>
    </row>
    <row r="470" spans="2:31" x14ac:dyDescent="0.25">
      <c r="B470" s="9"/>
      <c r="C470" t="s">
        <v>31</v>
      </c>
      <c r="D470" s="9" t="str">
        <f>IF($A470="","",1*'Material Costs'!$D$3)</f>
        <v/>
      </c>
      <c r="E470" s="9" t="str">
        <f>IF($A470="","",1*'Material Costs'!$D$2)</f>
        <v/>
      </c>
      <c r="F470" s="9" t="str">
        <f>IF($A470="","",IF($C470="Bubble Mailer",2,1)*'Material Costs'!$D$6)</f>
        <v/>
      </c>
      <c r="G470" s="9" t="str">
        <f>IF($A470="","",1*'Material Costs'!$D$7)</f>
        <v/>
      </c>
      <c r="H470" s="9" t="str">
        <f>IF($A470="","",IF($C470="Bubble Mailer",1,0)*'Material Costs'!$D$5)</f>
        <v/>
      </c>
      <c r="I470" s="9" t="str">
        <f>IF($A470="","",IF($C470="ESE (Ding Defend)",1,0)*'Material Costs'!$D$4)</f>
        <v/>
      </c>
      <c r="J470" s="9"/>
      <c r="K470" s="9" t="str">
        <f t="shared" si="63"/>
        <v/>
      </c>
      <c r="L470" s="9"/>
      <c r="M470" s="9"/>
      <c r="N470" s="9"/>
      <c r="O470" s="9" t="str">
        <f t="shared" si="64"/>
        <v/>
      </c>
      <c r="P470" s="9"/>
      <c r="Q470" s="9" t="str">
        <f>IF($A470="","",IF($O470="", "", ROUND($O470*Settings!$B$2+Settings!$B$3,2)))</f>
        <v/>
      </c>
      <c r="R470" s="9" t="str">
        <f>IF($A470="","",IF($L470="", "", Settings!$B$4))</f>
        <v/>
      </c>
      <c r="S470" s="9" t="str">
        <f t="shared" si="65"/>
        <v/>
      </c>
      <c r="T470" s="9" t="str">
        <f t="shared" si="66"/>
        <v/>
      </c>
      <c r="U470" s="9" t="str">
        <f>IF($A470="","",IF($K470="", "", ROUND((($K470 + Settings!$B$3 + $R470) - IF($M470="",0,$M470))/(1-Settings!$B$2),2)))</f>
        <v/>
      </c>
      <c r="V470" s="9" t="str">
        <f>IF($A470="","",$L470-($L470*Settings!$B$2)-$J470-($B470+SUM($D470:$I470)))</f>
        <v/>
      </c>
      <c r="W470" s="9" t="str">
        <f>IF($A470="","",(($B470+SUM($D470:$I470)+$J470+Settings!$B$3)/(1-Settings!$B$2))-$M470)</f>
        <v/>
      </c>
      <c r="X470" s="10" t="str">
        <f t="shared" si="67"/>
        <v/>
      </c>
      <c r="Y470" s="10" t="str">
        <f t="shared" si="68"/>
        <v/>
      </c>
      <c r="Z470" s="10" t="str">
        <f t="shared" si="69"/>
        <v/>
      </c>
      <c r="AA470" s="10" t="str">
        <f t="shared" si="70"/>
        <v/>
      </c>
      <c r="AC470" s="11"/>
      <c r="AD470" s="11"/>
      <c r="AE470" s="12" t="str">
        <f t="shared" si="71"/>
        <v/>
      </c>
    </row>
    <row r="471" spans="2:31" x14ac:dyDescent="0.25">
      <c r="B471" s="9"/>
      <c r="C471" t="s">
        <v>31</v>
      </c>
      <c r="D471" s="9" t="str">
        <f>IF($A471="","",1*'Material Costs'!$D$3)</f>
        <v/>
      </c>
      <c r="E471" s="9" t="str">
        <f>IF($A471="","",1*'Material Costs'!$D$2)</f>
        <v/>
      </c>
      <c r="F471" s="9" t="str">
        <f>IF($A471="","",IF($C471="Bubble Mailer",2,1)*'Material Costs'!$D$6)</f>
        <v/>
      </c>
      <c r="G471" s="9" t="str">
        <f>IF($A471="","",1*'Material Costs'!$D$7)</f>
        <v/>
      </c>
      <c r="H471" s="9" t="str">
        <f>IF($A471="","",IF($C471="Bubble Mailer",1,0)*'Material Costs'!$D$5)</f>
        <v/>
      </c>
      <c r="I471" s="9" t="str">
        <f>IF($A471="","",IF($C471="ESE (Ding Defend)",1,0)*'Material Costs'!$D$4)</f>
        <v/>
      </c>
      <c r="J471" s="9"/>
      <c r="K471" s="9" t="str">
        <f t="shared" si="63"/>
        <v/>
      </c>
      <c r="L471" s="9"/>
      <c r="M471" s="9"/>
      <c r="N471" s="9"/>
      <c r="O471" s="9" t="str">
        <f t="shared" si="64"/>
        <v/>
      </c>
      <c r="P471" s="9"/>
      <c r="Q471" s="9" t="str">
        <f>IF($A471="","",IF($O471="", "", ROUND($O471*Settings!$B$2+Settings!$B$3,2)))</f>
        <v/>
      </c>
      <c r="R471" s="9" t="str">
        <f>IF($A471="","",IF($L471="", "", Settings!$B$4))</f>
        <v/>
      </c>
      <c r="S471" s="9" t="str">
        <f t="shared" si="65"/>
        <v/>
      </c>
      <c r="T471" s="9" t="str">
        <f t="shared" si="66"/>
        <v/>
      </c>
      <c r="U471" s="9" t="str">
        <f>IF($A471="","",IF($K471="", "", ROUND((($K471 + Settings!$B$3 + $R471) - IF($M471="",0,$M471))/(1-Settings!$B$2),2)))</f>
        <v/>
      </c>
      <c r="V471" s="9" t="str">
        <f>IF($A471="","",$L471-($L471*Settings!$B$2)-$J471-($B471+SUM($D471:$I471)))</f>
        <v/>
      </c>
      <c r="W471" s="9" t="str">
        <f>IF($A471="","",(($B471+SUM($D471:$I471)+$J471+Settings!$B$3)/(1-Settings!$B$2))-$M471)</f>
        <v/>
      </c>
      <c r="X471" s="10" t="str">
        <f t="shared" si="67"/>
        <v/>
      </c>
      <c r="Y471" s="10" t="str">
        <f t="shared" si="68"/>
        <v/>
      </c>
      <c r="Z471" s="10" t="str">
        <f t="shared" si="69"/>
        <v/>
      </c>
      <c r="AA471" s="10" t="str">
        <f t="shared" si="70"/>
        <v/>
      </c>
      <c r="AC471" s="11"/>
      <c r="AD471" s="11"/>
      <c r="AE471" s="12" t="str">
        <f t="shared" si="71"/>
        <v/>
      </c>
    </row>
    <row r="472" spans="2:31" x14ac:dyDescent="0.25">
      <c r="B472" s="9"/>
      <c r="C472" t="s">
        <v>31</v>
      </c>
      <c r="D472" s="9" t="str">
        <f>IF($A472="","",1*'Material Costs'!$D$3)</f>
        <v/>
      </c>
      <c r="E472" s="9" t="str">
        <f>IF($A472="","",1*'Material Costs'!$D$2)</f>
        <v/>
      </c>
      <c r="F472" s="9" t="str">
        <f>IF($A472="","",IF($C472="Bubble Mailer",2,1)*'Material Costs'!$D$6)</f>
        <v/>
      </c>
      <c r="G472" s="9" t="str">
        <f>IF($A472="","",1*'Material Costs'!$D$7)</f>
        <v/>
      </c>
      <c r="H472" s="9" t="str">
        <f>IF($A472="","",IF($C472="Bubble Mailer",1,0)*'Material Costs'!$D$5)</f>
        <v/>
      </c>
      <c r="I472" s="9" t="str">
        <f>IF($A472="","",IF($C472="ESE (Ding Defend)",1,0)*'Material Costs'!$D$4)</f>
        <v/>
      </c>
      <c r="J472" s="9"/>
      <c r="K472" s="9" t="str">
        <f t="shared" si="63"/>
        <v/>
      </c>
      <c r="L472" s="9"/>
      <c r="M472" s="9"/>
      <c r="N472" s="9"/>
      <c r="O472" s="9" t="str">
        <f t="shared" si="64"/>
        <v/>
      </c>
      <c r="P472" s="9"/>
      <c r="Q472" s="9" t="str">
        <f>IF($A472="","",IF($O472="", "", ROUND($O472*Settings!$B$2+Settings!$B$3,2)))</f>
        <v/>
      </c>
      <c r="R472" s="9" t="str">
        <f>IF($A472="","",IF($L472="", "", Settings!$B$4))</f>
        <v/>
      </c>
      <c r="S472" s="9" t="str">
        <f t="shared" si="65"/>
        <v/>
      </c>
      <c r="T472" s="9" t="str">
        <f t="shared" si="66"/>
        <v/>
      </c>
      <c r="U472" s="9" t="str">
        <f>IF($A472="","",IF($K472="", "", ROUND((($K472 + Settings!$B$3 + $R472) - IF($M472="",0,$M472))/(1-Settings!$B$2),2)))</f>
        <v/>
      </c>
      <c r="V472" s="9" t="str">
        <f>IF($A472="","",$L472-($L472*Settings!$B$2)-$J472-($B472+SUM($D472:$I472)))</f>
        <v/>
      </c>
      <c r="W472" s="9" t="str">
        <f>IF($A472="","",(($B472+SUM($D472:$I472)+$J472+Settings!$B$3)/(1-Settings!$B$2))-$M472)</f>
        <v/>
      </c>
      <c r="X472" s="10" t="str">
        <f t="shared" si="67"/>
        <v/>
      </c>
      <c r="Y472" s="10" t="str">
        <f t="shared" si="68"/>
        <v/>
      </c>
      <c r="Z472" s="10" t="str">
        <f t="shared" si="69"/>
        <v/>
      </c>
      <c r="AA472" s="10" t="str">
        <f t="shared" si="70"/>
        <v/>
      </c>
      <c r="AC472" s="11"/>
      <c r="AD472" s="11"/>
      <c r="AE472" s="12" t="str">
        <f t="shared" si="71"/>
        <v/>
      </c>
    </row>
    <row r="473" spans="2:31" x14ac:dyDescent="0.25">
      <c r="B473" s="9"/>
      <c r="C473" t="s">
        <v>31</v>
      </c>
      <c r="D473" s="9" t="str">
        <f>IF($A473="","",1*'Material Costs'!$D$3)</f>
        <v/>
      </c>
      <c r="E473" s="9" t="str">
        <f>IF($A473="","",1*'Material Costs'!$D$2)</f>
        <v/>
      </c>
      <c r="F473" s="9" t="str">
        <f>IF($A473="","",IF($C473="Bubble Mailer",2,1)*'Material Costs'!$D$6)</f>
        <v/>
      </c>
      <c r="G473" s="9" t="str">
        <f>IF($A473="","",1*'Material Costs'!$D$7)</f>
        <v/>
      </c>
      <c r="H473" s="9" t="str">
        <f>IF($A473="","",IF($C473="Bubble Mailer",1,0)*'Material Costs'!$D$5)</f>
        <v/>
      </c>
      <c r="I473" s="9" t="str">
        <f>IF($A473="","",IF($C473="ESE (Ding Defend)",1,0)*'Material Costs'!$D$4)</f>
        <v/>
      </c>
      <c r="J473" s="9"/>
      <c r="K473" s="9" t="str">
        <f t="shared" si="63"/>
        <v/>
      </c>
      <c r="L473" s="9"/>
      <c r="M473" s="9"/>
      <c r="N473" s="9"/>
      <c r="O473" s="9" t="str">
        <f t="shared" si="64"/>
        <v/>
      </c>
      <c r="P473" s="9"/>
      <c r="Q473" s="9" t="str">
        <f>IF($A473="","",IF($O473="", "", ROUND($O473*Settings!$B$2+Settings!$B$3,2)))</f>
        <v/>
      </c>
      <c r="R473" s="9" t="str">
        <f>IF($A473="","",IF($L473="", "", Settings!$B$4))</f>
        <v/>
      </c>
      <c r="S473" s="9" t="str">
        <f t="shared" si="65"/>
        <v/>
      </c>
      <c r="T473" s="9" t="str">
        <f t="shared" si="66"/>
        <v/>
      </c>
      <c r="U473" s="9" t="str">
        <f>IF($A473="","",IF($K473="", "", ROUND((($K473 + Settings!$B$3 + $R473) - IF($M473="",0,$M473))/(1-Settings!$B$2),2)))</f>
        <v/>
      </c>
      <c r="V473" s="9" t="str">
        <f>IF($A473="","",$L473-($L473*Settings!$B$2)-$J473-($B473+SUM($D473:$I473)))</f>
        <v/>
      </c>
      <c r="W473" s="9" t="str">
        <f>IF($A473="","",(($B473+SUM($D473:$I473)+$J473+Settings!$B$3)/(1-Settings!$B$2))-$M473)</f>
        <v/>
      </c>
      <c r="X473" s="10" t="str">
        <f t="shared" si="67"/>
        <v/>
      </c>
      <c r="Y473" s="10" t="str">
        <f t="shared" si="68"/>
        <v/>
      </c>
      <c r="Z473" s="10" t="str">
        <f t="shared" si="69"/>
        <v/>
      </c>
      <c r="AA473" s="10" t="str">
        <f t="shared" si="70"/>
        <v/>
      </c>
      <c r="AC473" s="11"/>
      <c r="AD473" s="11"/>
      <c r="AE473" s="12" t="str">
        <f t="shared" si="71"/>
        <v/>
      </c>
    </row>
    <row r="474" spans="2:31" x14ac:dyDescent="0.25">
      <c r="B474" s="9"/>
      <c r="C474" t="s">
        <v>31</v>
      </c>
      <c r="D474" s="9" t="str">
        <f>IF($A474="","",1*'Material Costs'!$D$3)</f>
        <v/>
      </c>
      <c r="E474" s="9" t="str">
        <f>IF($A474="","",1*'Material Costs'!$D$2)</f>
        <v/>
      </c>
      <c r="F474" s="9" t="str">
        <f>IF($A474="","",IF($C474="Bubble Mailer",2,1)*'Material Costs'!$D$6)</f>
        <v/>
      </c>
      <c r="G474" s="9" t="str">
        <f>IF($A474="","",1*'Material Costs'!$D$7)</f>
        <v/>
      </c>
      <c r="H474" s="9" t="str">
        <f>IF($A474="","",IF($C474="Bubble Mailer",1,0)*'Material Costs'!$D$5)</f>
        <v/>
      </c>
      <c r="I474" s="9" t="str">
        <f>IF($A474="","",IF($C474="ESE (Ding Defend)",1,0)*'Material Costs'!$D$4)</f>
        <v/>
      </c>
      <c r="J474" s="9"/>
      <c r="K474" s="9" t="str">
        <f t="shared" si="63"/>
        <v/>
      </c>
      <c r="L474" s="9"/>
      <c r="M474" s="9"/>
      <c r="N474" s="9"/>
      <c r="O474" s="9" t="str">
        <f t="shared" si="64"/>
        <v/>
      </c>
      <c r="P474" s="9"/>
      <c r="Q474" s="9" t="str">
        <f>IF($A474="","",IF($O474="", "", ROUND($O474*Settings!$B$2+Settings!$B$3,2)))</f>
        <v/>
      </c>
      <c r="R474" s="9" t="str">
        <f>IF($A474="","",IF($L474="", "", Settings!$B$4))</f>
        <v/>
      </c>
      <c r="S474" s="9" t="str">
        <f t="shared" si="65"/>
        <v/>
      </c>
      <c r="T474" s="9" t="str">
        <f t="shared" si="66"/>
        <v/>
      </c>
      <c r="U474" s="9" t="str">
        <f>IF($A474="","",IF($K474="", "", ROUND((($K474 + Settings!$B$3 + $R474) - IF($M474="",0,$M474))/(1-Settings!$B$2),2)))</f>
        <v/>
      </c>
      <c r="V474" s="9" t="str">
        <f>IF($A474="","",$L474-($L474*Settings!$B$2)-$J474-($B474+SUM($D474:$I474)))</f>
        <v/>
      </c>
      <c r="W474" s="9" t="str">
        <f>IF($A474="","",(($B474+SUM($D474:$I474)+$J474+Settings!$B$3)/(1-Settings!$B$2))-$M474)</f>
        <v/>
      </c>
      <c r="X474" s="10" t="str">
        <f t="shared" si="67"/>
        <v/>
      </c>
      <c r="Y474" s="10" t="str">
        <f t="shared" si="68"/>
        <v/>
      </c>
      <c r="Z474" s="10" t="str">
        <f t="shared" si="69"/>
        <v/>
      </c>
      <c r="AA474" s="10" t="str">
        <f t="shared" si="70"/>
        <v/>
      </c>
      <c r="AC474" s="11"/>
      <c r="AD474" s="11"/>
      <c r="AE474" s="12" t="str">
        <f t="shared" si="71"/>
        <v/>
      </c>
    </row>
    <row r="475" spans="2:31" x14ac:dyDescent="0.25">
      <c r="B475" s="9"/>
      <c r="C475" t="s">
        <v>31</v>
      </c>
      <c r="D475" s="9" t="str">
        <f>IF($A475="","",1*'Material Costs'!$D$3)</f>
        <v/>
      </c>
      <c r="E475" s="9" t="str">
        <f>IF($A475="","",1*'Material Costs'!$D$2)</f>
        <v/>
      </c>
      <c r="F475" s="9" t="str">
        <f>IF($A475="","",IF($C475="Bubble Mailer",2,1)*'Material Costs'!$D$6)</f>
        <v/>
      </c>
      <c r="G475" s="9" t="str">
        <f>IF($A475="","",1*'Material Costs'!$D$7)</f>
        <v/>
      </c>
      <c r="H475" s="9" t="str">
        <f>IF($A475="","",IF($C475="Bubble Mailer",1,0)*'Material Costs'!$D$5)</f>
        <v/>
      </c>
      <c r="I475" s="9" t="str">
        <f>IF($A475="","",IF($C475="ESE (Ding Defend)",1,0)*'Material Costs'!$D$4)</f>
        <v/>
      </c>
      <c r="J475" s="9"/>
      <c r="K475" s="9" t="str">
        <f t="shared" si="63"/>
        <v/>
      </c>
      <c r="L475" s="9"/>
      <c r="M475" s="9"/>
      <c r="N475" s="9"/>
      <c r="O475" s="9" t="str">
        <f t="shared" si="64"/>
        <v/>
      </c>
      <c r="P475" s="9"/>
      <c r="Q475" s="9" t="str">
        <f>IF($A475="","",IF($O475="", "", ROUND($O475*Settings!$B$2+Settings!$B$3,2)))</f>
        <v/>
      </c>
      <c r="R475" s="9" t="str">
        <f>IF($A475="","",IF($L475="", "", Settings!$B$4))</f>
        <v/>
      </c>
      <c r="S475" s="9" t="str">
        <f t="shared" si="65"/>
        <v/>
      </c>
      <c r="T475" s="9" t="str">
        <f t="shared" si="66"/>
        <v/>
      </c>
      <c r="U475" s="9" t="str">
        <f>IF($A475="","",IF($K475="", "", ROUND((($K475 + Settings!$B$3 + $R475) - IF($M475="",0,$M475))/(1-Settings!$B$2),2)))</f>
        <v/>
      </c>
      <c r="V475" s="9" t="str">
        <f>IF($A475="","",$L475-($L475*Settings!$B$2)-$J475-($B475+SUM($D475:$I475)))</f>
        <v/>
      </c>
      <c r="W475" s="9" t="str">
        <f>IF($A475="","",(($B475+SUM($D475:$I475)+$J475+Settings!$B$3)/(1-Settings!$B$2))-$M475)</f>
        <v/>
      </c>
      <c r="X475" s="10" t="str">
        <f t="shared" si="67"/>
        <v/>
      </c>
      <c r="Y475" s="10" t="str">
        <f t="shared" si="68"/>
        <v/>
      </c>
      <c r="Z475" s="10" t="str">
        <f t="shared" si="69"/>
        <v/>
      </c>
      <c r="AA475" s="10" t="str">
        <f t="shared" si="70"/>
        <v/>
      </c>
      <c r="AC475" s="11"/>
      <c r="AD475" s="11"/>
      <c r="AE475" s="12" t="str">
        <f t="shared" si="71"/>
        <v/>
      </c>
    </row>
    <row r="476" spans="2:31" x14ac:dyDescent="0.25">
      <c r="B476" s="9"/>
      <c r="C476" t="s">
        <v>31</v>
      </c>
      <c r="D476" s="9" t="str">
        <f>IF($A476="","",1*'Material Costs'!$D$3)</f>
        <v/>
      </c>
      <c r="E476" s="9" t="str">
        <f>IF($A476="","",1*'Material Costs'!$D$2)</f>
        <v/>
      </c>
      <c r="F476" s="9" t="str">
        <f>IF($A476="","",IF($C476="Bubble Mailer",2,1)*'Material Costs'!$D$6)</f>
        <v/>
      </c>
      <c r="G476" s="9" t="str">
        <f>IF($A476="","",1*'Material Costs'!$D$7)</f>
        <v/>
      </c>
      <c r="H476" s="9" t="str">
        <f>IF($A476="","",IF($C476="Bubble Mailer",1,0)*'Material Costs'!$D$5)</f>
        <v/>
      </c>
      <c r="I476" s="9" t="str">
        <f>IF($A476="","",IF($C476="ESE (Ding Defend)",1,0)*'Material Costs'!$D$4)</f>
        <v/>
      </c>
      <c r="J476" s="9"/>
      <c r="K476" s="9" t="str">
        <f t="shared" si="63"/>
        <v/>
      </c>
      <c r="L476" s="9"/>
      <c r="M476" s="9"/>
      <c r="N476" s="9"/>
      <c r="O476" s="9" t="str">
        <f t="shared" si="64"/>
        <v/>
      </c>
      <c r="P476" s="9"/>
      <c r="Q476" s="9" t="str">
        <f>IF($A476="","",IF($O476="", "", ROUND($O476*Settings!$B$2+Settings!$B$3,2)))</f>
        <v/>
      </c>
      <c r="R476" s="9" t="str">
        <f>IF($A476="","",IF($L476="", "", Settings!$B$4))</f>
        <v/>
      </c>
      <c r="S476" s="9" t="str">
        <f t="shared" si="65"/>
        <v/>
      </c>
      <c r="T476" s="9" t="str">
        <f t="shared" si="66"/>
        <v/>
      </c>
      <c r="U476" s="9" t="str">
        <f>IF($A476="","",IF($K476="", "", ROUND((($K476 + Settings!$B$3 + $R476) - IF($M476="",0,$M476))/(1-Settings!$B$2),2)))</f>
        <v/>
      </c>
      <c r="V476" s="9" t="str">
        <f>IF($A476="","",$L476-($L476*Settings!$B$2)-$J476-($B476+SUM($D476:$I476)))</f>
        <v/>
      </c>
      <c r="W476" s="9" t="str">
        <f>IF($A476="","",(($B476+SUM($D476:$I476)+$J476+Settings!$B$3)/(1-Settings!$B$2))-$M476)</f>
        <v/>
      </c>
      <c r="X476" s="10" t="str">
        <f t="shared" si="67"/>
        <v/>
      </c>
      <c r="Y476" s="10" t="str">
        <f t="shared" si="68"/>
        <v/>
      </c>
      <c r="Z476" s="10" t="str">
        <f t="shared" si="69"/>
        <v/>
      </c>
      <c r="AA476" s="10" t="str">
        <f t="shared" si="70"/>
        <v/>
      </c>
      <c r="AC476" s="11"/>
      <c r="AD476" s="11"/>
      <c r="AE476" s="12" t="str">
        <f t="shared" si="71"/>
        <v/>
      </c>
    </row>
    <row r="477" spans="2:31" x14ac:dyDescent="0.25">
      <c r="B477" s="9"/>
      <c r="C477" t="s">
        <v>31</v>
      </c>
      <c r="D477" s="9" t="str">
        <f>IF($A477="","",1*'Material Costs'!$D$3)</f>
        <v/>
      </c>
      <c r="E477" s="9" t="str">
        <f>IF($A477="","",1*'Material Costs'!$D$2)</f>
        <v/>
      </c>
      <c r="F477" s="9" t="str">
        <f>IF($A477="","",IF($C477="Bubble Mailer",2,1)*'Material Costs'!$D$6)</f>
        <v/>
      </c>
      <c r="G477" s="9" t="str">
        <f>IF($A477="","",1*'Material Costs'!$D$7)</f>
        <v/>
      </c>
      <c r="H477" s="9" t="str">
        <f>IF($A477="","",IF($C477="Bubble Mailer",1,0)*'Material Costs'!$D$5)</f>
        <v/>
      </c>
      <c r="I477" s="9" t="str">
        <f>IF($A477="","",IF($C477="ESE (Ding Defend)",1,0)*'Material Costs'!$D$4)</f>
        <v/>
      </c>
      <c r="J477" s="9"/>
      <c r="K477" s="9" t="str">
        <f t="shared" si="63"/>
        <v/>
      </c>
      <c r="L477" s="9"/>
      <c r="M477" s="9"/>
      <c r="N477" s="9"/>
      <c r="O477" s="9" t="str">
        <f t="shared" si="64"/>
        <v/>
      </c>
      <c r="P477" s="9"/>
      <c r="Q477" s="9" t="str">
        <f>IF($A477="","",IF($O477="", "", ROUND($O477*Settings!$B$2+Settings!$B$3,2)))</f>
        <v/>
      </c>
      <c r="R477" s="9" t="str">
        <f>IF($A477="","",IF($L477="", "", Settings!$B$4))</f>
        <v/>
      </c>
      <c r="S477" s="9" t="str">
        <f t="shared" si="65"/>
        <v/>
      </c>
      <c r="T477" s="9" t="str">
        <f t="shared" si="66"/>
        <v/>
      </c>
      <c r="U477" s="9" t="str">
        <f>IF($A477="","",IF($K477="", "", ROUND((($K477 + Settings!$B$3 + $R477) - IF($M477="",0,$M477))/(1-Settings!$B$2),2)))</f>
        <v/>
      </c>
      <c r="V477" s="9" t="str">
        <f>IF($A477="","",$L477-($L477*Settings!$B$2)-$J477-($B477+SUM($D477:$I477)))</f>
        <v/>
      </c>
      <c r="W477" s="9" t="str">
        <f>IF($A477="","",(($B477+SUM($D477:$I477)+$J477+Settings!$B$3)/(1-Settings!$B$2))-$M477)</f>
        <v/>
      </c>
      <c r="X477" s="10" t="str">
        <f t="shared" si="67"/>
        <v/>
      </c>
      <c r="Y477" s="10" t="str">
        <f t="shared" si="68"/>
        <v/>
      </c>
      <c r="Z477" s="10" t="str">
        <f t="shared" si="69"/>
        <v/>
      </c>
      <c r="AA477" s="10" t="str">
        <f t="shared" si="70"/>
        <v/>
      </c>
      <c r="AC477" s="11"/>
      <c r="AD477" s="11"/>
      <c r="AE477" s="12" t="str">
        <f t="shared" si="71"/>
        <v/>
      </c>
    </row>
    <row r="478" spans="2:31" x14ac:dyDescent="0.25">
      <c r="B478" s="9"/>
      <c r="C478" t="s">
        <v>31</v>
      </c>
      <c r="D478" s="9" t="str">
        <f>IF($A478="","",1*'Material Costs'!$D$3)</f>
        <v/>
      </c>
      <c r="E478" s="9" t="str">
        <f>IF($A478="","",1*'Material Costs'!$D$2)</f>
        <v/>
      </c>
      <c r="F478" s="9" t="str">
        <f>IF($A478="","",IF($C478="Bubble Mailer",2,1)*'Material Costs'!$D$6)</f>
        <v/>
      </c>
      <c r="G478" s="9" t="str">
        <f>IF($A478="","",1*'Material Costs'!$D$7)</f>
        <v/>
      </c>
      <c r="H478" s="9" t="str">
        <f>IF($A478="","",IF($C478="Bubble Mailer",1,0)*'Material Costs'!$D$5)</f>
        <v/>
      </c>
      <c r="I478" s="9" t="str">
        <f>IF($A478="","",IF($C478="ESE (Ding Defend)",1,0)*'Material Costs'!$D$4)</f>
        <v/>
      </c>
      <c r="J478" s="9"/>
      <c r="K478" s="9" t="str">
        <f t="shared" si="63"/>
        <v/>
      </c>
      <c r="L478" s="9"/>
      <c r="M478" s="9"/>
      <c r="N478" s="9"/>
      <c r="O478" s="9" t="str">
        <f t="shared" si="64"/>
        <v/>
      </c>
      <c r="P478" s="9"/>
      <c r="Q478" s="9" t="str">
        <f>IF($A478="","",IF($O478="", "", ROUND($O478*Settings!$B$2+Settings!$B$3,2)))</f>
        <v/>
      </c>
      <c r="R478" s="9" t="str">
        <f>IF($A478="","",IF($L478="", "", Settings!$B$4))</f>
        <v/>
      </c>
      <c r="S478" s="9" t="str">
        <f t="shared" si="65"/>
        <v/>
      </c>
      <c r="T478" s="9" t="str">
        <f t="shared" si="66"/>
        <v/>
      </c>
      <c r="U478" s="9" t="str">
        <f>IF($A478="","",IF($K478="", "", ROUND((($K478 + Settings!$B$3 + $R478) - IF($M478="",0,$M478))/(1-Settings!$B$2),2)))</f>
        <v/>
      </c>
      <c r="V478" s="9" t="str">
        <f>IF($A478="","",$L478-($L478*Settings!$B$2)-$J478-($B478+SUM($D478:$I478)))</f>
        <v/>
      </c>
      <c r="W478" s="9" t="str">
        <f>IF($A478="","",(($B478+SUM($D478:$I478)+$J478+Settings!$B$3)/(1-Settings!$B$2))-$M478)</f>
        <v/>
      </c>
      <c r="X478" s="10" t="str">
        <f t="shared" si="67"/>
        <v/>
      </c>
      <c r="Y478" s="10" t="str">
        <f t="shared" si="68"/>
        <v/>
      </c>
      <c r="Z478" s="10" t="str">
        <f t="shared" si="69"/>
        <v/>
      </c>
      <c r="AA478" s="10" t="str">
        <f t="shared" si="70"/>
        <v/>
      </c>
      <c r="AC478" s="11"/>
      <c r="AD478" s="11"/>
      <c r="AE478" s="12" t="str">
        <f t="shared" si="71"/>
        <v/>
      </c>
    </row>
    <row r="479" spans="2:31" x14ac:dyDescent="0.25">
      <c r="B479" s="9"/>
      <c r="C479" t="s">
        <v>31</v>
      </c>
      <c r="D479" s="9" t="str">
        <f>IF($A479="","",1*'Material Costs'!$D$3)</f>
        <v/>
      </c>
      <c r="E479" s="9" t="str">
        <f>IF($A479="","",1*'Material Costs'!$D$2)</f>
        <v/>
      </c>
      <c r="F479" s="9" t="str">
        <f>IF($A479="","",IF($C479="Bubble Mailer",2,1)*'Material Costs'!$D$6)</f>
        <v/>
      </c>
      <c r="G479" s="9" t="str">
        <f>IF($A479="","",1*'Material Costs'!$D$7)</f>
        <v/>
      </c>
      <c r="H479" s="9" t="str">
        <f>IF($A479="","",IF($C479="Bubble Mailer",1,0)*'Material Costs'!$D$5)</f>
        <v/>
      </c>
      <c r="I479" s="9" t="str">
        <f>IF($A479="","",IF($C479="ESE (Ding Defend)",1,0)*'Material Costs'!$D$4)</f>
        <v/>
      </c>
      <c r="J479" s="9"/>
      <c r="K479" s="9" t="str">
        <f t="shared" si="63"/>
        <v/>
      </c>
      <c r="L479" s="9"/>
      <c r="M479" s="9"/>
      <c r="N479" s="9"/>
      <c r="O479" s="9" t="str">
        <f t="shared" si="64"/>
        <v/>
      </c>
      <c r="P479" s="9"/>
      <c r="Q479" s="9" t="str">
        <f>IF($A479="","",IF($O479="", "", ROUND($O479*Settings!$B$2+Settings!$B$3,2)))</f>
        <v/>
      </c>
      <c r="R479" s="9" t="str">
        <f>IF($A479="","",IF($L479="", "", Settings!$B$4))</f>
        <v/>
      </c>
      <c r="S479" s="9" t="str">
        <f t="shared" si="65"/>
        <v/>
      </c>
      <c r="T479" s="9" t="str">
        <f t="shared" si="66"/>
        <v/>
      </c>
      <c r="U479" s="9" t="str">
        <f>IF($A479="","",IF($K479="", "", ROUND((($K479 + Settings!$B$3 + $R479) - IF($M479="",0,$M479))/(1-Settings!$B$2),2)))</f>
        <v/>
      </c>
      <c r="V479" s="9" t="str">
        <f>IF($A479="","",$L479-($L479*Settings!$B$2)-$J479-($B479+SUM($D479:$I479)))</f>
        <v/>
      </c>
      <c r="W479" s="9" t="str">
        <f>IF($A479="","",(($B479+SUM($D479:$I479)+$J479+Settings!$B$3)/(1-Settings!$B$2))-$M479)</f>
        <v/>
      </c>
      <c r="X479" s="10" t="str">
        <f t="shared" si="67"/>
        <v/>
      </c>
      <c r="Y479" s="10" t="str">
        <f t="shared" si="68"/>
        <v/>
      </c>
      <c r="Z479" s="10" t="str">
        <f t="shared" si="69"/>
        <v/>
      </c>
      <c r="AA479" s="10" t="str">
        <f t="shared" si="70"/>
        <v/>
      </c>
      <c r="AC479" s="11"/>
      <c r="AD479" s="11"/>
      <c r="AE479" s="12" t="str">
        <f t="shared" si="71"/>
        <v/>
      </c>
    </row>
    <row r="480" spans="2:31" x14ac:dyDescent="0.25">
      <c r="B480" s="9"/>
      <c r="C480" t="s">
        <v>31</v>
      </c>
      <c r="D480" s="9" t="str">
        <f>IF($A480="","",1*'Material Costs'!$D$3)</f>
        <v/>
      </c>
      <c r="E480" s="9" t="str">
        <f>IF($A480="","",1*'Material Costs'!$D$2)</f>
        <v/>
      </c>
      <c r="F480" s="9" t="str">
        <f>IF($A480="","",IF($C480="Bubble Mailer",2,1)*'Material Costs'!$D$6)</f>
        <v/>
      </c>
      <c r="G480" s="9" t="str">
        <f>IF($A480="","",1*'Material Costs'!$D$7)</f>
        <v/>
      </c>
      <c r="H480" s="9" t="str">
        <f>IF($A480="","",IF($C480="Bubble Mailer",1,0)*'Material Costs'!$D$5)</f>
        <v/>
      </c>
      <c r="I480" s="9" t="str">
        <f>IF($A480="","",IF($C480="ESE (Ding Defend)",1,0)*'Material Costs'!$D$4)</f>
        <v/>
      </c>
      <c r="J480" s="9"/>
      <c r="K480" s="9" t="str">
        <f t="shared" si="63"/>
        <v/>
      </c>
      <c r="L480" s="9"/>
      <c r="M480" s="9"/>
      <c r="N480" s="9"/>
      <c r="O480" s="9" t="str">
        <f t="shared" si="64"/>
        <v/>
      </c>
      <c r="P480" s="9"/>
      <c r="Q480" s="9" t="str">
        <f>IF($A480="","",IF($O480="", "", ROUND($O480*Settings!$B$2+Settings!$B$3,2)))</f>
        <v/>
      </c>
      <c r="R480" s="9" t="str">
        <f>IF($A480="","",IF($L480="", "", Settings!$B$4))</f>
        <v/>
      </c>
      <c r="S480" s="9" t="str">
        <f t="shared" si="65"/>
        <v/>
      </c>
      <c r="T480" s="9" t="str">
        <f t="shared" si="66"/>
        <v/>
      </c>
      <c r="U480" s="9" t="str">
        <f>IF($A480="","",IF($K480="", "", ROUND((($K480 + Settings!$B$3 + $R480) - IF($M480="",0,$M480))/(1-Settings!$B$2),2)))</f>
        <v/>
      </c>
      <c r="V480" s="9" t="str">
        <f>IF($A480="","",$L480-($L480*Settings!$B$2)-$J480-($B480+SUM($D480:$I480)))</f>
        <v/>
      </c>
      <c r="W480" s="9" t="str">
        <f>IF($A480="","",(($B480+SUM($D480:$I480)+$J480+Settings!$B$3)/(1-Settings!$B$2))-$M480)</f>
        <v/>
      </c>
      <c r="X480" s="10" t="str">
        <f t="shared" si="67"/>
        <v/>
      </c>
      <c r="Y480" s="10" t="str">
        <f t="shared" si="68"/>
        <v/>
      </c>
      <c r="Z480" s="10" t="str">
        <f t="shared" si="69"/>
        <v/>
      </c>
      <c r="AA480" s="10" t="str">
        <f t="shared" si="70"/>
        <v/>
      </c>
      <c r="AC480" s="11"/>
      <c r="AD480" s="11"/>
      <c r="AE480" s="12" t="str">
        <f t="shared" si="71"/>
        <v/>
      </c>
    </row>
    <row r="481" spans="2:31" x14ac:dyDescent="0.25">
      <c r="B481" s="9"/>
      <c r="C481" t="s">
        <v>31</v>
      </c>
      <c r="D481" s="9" t="str">
        <f>IF($A481="","",1*'Material Costs'!$D$3)</f>
        <v/>
      </c>
      <c r="E481" s="9" t="str">
        <f>IF($A481="","",1*'Material Costs'!$D$2)</f>
        <v/>
      </c>
      <c r="F481" s="9" t="str">
        <f>IF($A481="","",IF($C481="Bubble Mailer",2,1)*'Material Costs'!$D$6)</f>
        <v/>
      </c>
      <c r="G481" s="9" t="str">
        <f>IF($A481="","",1*'Material Costs'!$D$7)</f>
        <v/>
      </c>
      <c r="H481" s="9" t="str">
        <f>IF($A481="","",IF($C481="Bubble Mailer",1,0)*'Material Costs'!$D$5)</f>
        <v/>
      </c>
      <c r="I481" s="9" t="str">
        <f>IF($A481="","",IF($C481="ESE (Ding Defend)",1,0)*'Material Costs'!$D$4)</f>
        <v/>
      </c>
      <c r="J481" s="9"/>
      <c r="K481" s="9" t="str">
        <f t="shared" si="63"/>
        <v/>
      </c>
      <c r="L481" s="9"/>
      <c r="M481" s="9"/>
      <c r="N481" s="9"/>
      <c r="O481" s="9" t="str">
        <f t="shared" si="64"/>
        <v/>
      </c>
      <c r="P481" s="9"/>
      <c r="Q481" s="9" t="str">
        <f>IF($A481="","",IF($O481="", "", ROUND($O481*Settings!$B$2+Settings!$B$3,2)))</f>
        <v/>
      </c>
      <c r="R481" s="9" t="str">
        <f>IF($A481="","",IF($L481="", "", Settings!$B$4))</f>
        <v/>
      </c>
      <c r="S481" s="9" t="str">
        <f t="shared" si="65"/>
        <v/>
      </c>
      <c r="T481" s="9" t="str">
        <f t="shared" si="66"/>
        <v/>
      </c>
      <c r="U481" s="9" t="str">
        <f>IF($A481="","",IF($K481="", "", ROUND((($K481 + Settings!$B$3 + $R481) - IF($M481="",0,$M481))/(1-Settings!$B$2),2)))</f>
        <v/>
      </c>
      <c r="V481" s="9" t="str">
        <f>IF($A481="","",$L481-($L481*Settings!$B$2)-$J481-($B481+SUM($D481:$I481)))</f>
        <v/>
      </c>
      <c r="W481" s="9" t="str">
        <f>IF($A481="","",(($B481+SUM($D481:$I481)+$J481+Settings!$B$3)/(1-Settings!$B$2))-$M481)</f>
        <v/>
      </c>
      <c r="X481" s="10" t="str">
        <f t="shared" si="67"/>
        <v/>
      </c>
      <c r="Y481" s="10" t="str">
        <f t="shared" si="68"/>
        <v/>
      </c>
      <c r="Z481" s="10" t="str">
        <f t="shared" si="69"/>
        <v/>
      </c>
      <c r="AA481" s="10" t="str">
        <f t="shared" si="70"/>
        <v/>
      </c>
      <c r="AC481" s="11"/>
      <c r="AD481" s="11"/>
      <c r="AE481" s="12" t="str">
        <f t="shared" si="71"/>
        <v/>
      </c>
    </row>
    <row r="482" spans="2:31" x14ac:dyDescent="0.25">
      <c r="B482" s="9"/>
      <c r="C482" t="s">
        <v>31</v>
      </c>
      <c r="D482" s="9" t="str">
        <f>IF($A482="","",1*'Material Costs'!$D$3)</f>
        <v/>
      </c>
      <c r="E482" s="9" t="str">
        <f>IF($A482="","",1*'Material Costs'!$D$2)</f>
        <v/>
      </c>
      <c r="F482" s="9" t="str">
        <f>IF($A482="","",IF($C482="Bubble Mailer",2,1)*'Material Costs'!$D$6)</f>
        <v/>
      </c>
      <c r="G482" s="9" t="str">
        <f>IF($A482="","",1*'Material Costs'!$D$7)</f>
        <v/>
      </c>
      <c r="H482" s="9" t="str">
        <f>IF($A482="","",IF($C482="Bubble Mailer",1,0)*'Material Costs'!$D$5)</f>
        <v/>
      </c>
      <c r="I482" s="9" t="str">
        <f>IF($A482="","",IF($C482="ESE (Ding Defend)",1,0)*'Material Costs'!$D$4)</f>
        <v/>
      </c>
      <c r="J482" s="9"/>
      <c r="K482" s="9" t="str">
        <f t="shared" si="63"/>
        <v/>
      </c>
      <c r="L482" s="9"/>
      <c r="M482" s="9"/>
      <c r="N482" s="9"/>
      <c r="O482" s="9" t="str">
        <f t="shared" si="64"/>
        <v/>
      </c>
      <c r="P482" s="9"/>
      <c r="Q482" s="9" t="str">
        <f>IF($A482="","",IF($O482="", "", ROUND($O482*Settings!$B$2+Settings!$B$3,2)))</f>
        <v/>
      </c>
      <c r="R482" s="9" t="str">
        <f>IF($A482="","",IF($L482="", "", Settings!$B$4))</f>
        <v/>
      </c>
      <c r="S482" s="9" t="str">
        <f t="shared" si="65"/>
        <v/>
      </c>
      <c r="T482" s="9" t="str">
        <f t="shared" si="66"/>
        <v/>
      </c>
      <c r="U482" s="9" t="str">
        <f>IF($A482="","",IF($K482="", "", ROUND((($K482 + Settings!$B$3 + $R482) - IF($M482="",0,$M482))/(1-Settings!$B$2),2)))</f>
        <v/>
      </c>
      <c r="V482" s="9" t="str">
        <f>IF($A482="","",$L482-($L482*Settings!$B$2)-$J482-($B482+SUM($D482:$I482)))</f>
        <v/>
      </c>
      <c r="W482" s="9" t="str">
        <f>IF($A482="","",(($B482+SUM($D482:$I482)+$J482+Settings!$B$3)/(1-Settings!$B$2))-$M482)</f>
        <v/>
      </c>
      <c r="X482" s="10" t="str">
        <f t="shared" si="67"/>
        <v/>
      </c>
      <c r="Y482" s="10" t="str">
        <f t="shared" si="68"/>
        <v/>
      </c>
      <c r="Z482" s="10" t="str">
        <f t="shared" si="69"/>
        <v/>
      </c>
      <c r="AA482" s="10" t="str">
        <f t="shared" si="70"/>
        <v/>
      </c>
      <c r="AC482" s="11"/>
      <c r="AD482" s="11"/>
      <c r="AE482" s="12" t="str">
        <f t="shared" si="71"/>
        <v/>
      </c>
    </row>
    <row r="483" spans="2:31" x14ac:dyDescent="0.25">
      <c r="B483" s="9"/>
      <c r="C483" t="s">
        <v>31</v>
      </c>
      <c r="D483" s="9" t="str">
        <f>IF($A483="","",1*'Material Costs'!$D$3)</f>
        <v/>
      </c>
      <c r="E483" s="9" t="str">
        <f>IF($A483="","",1*'Material Costs'!$D$2)</f>
        <v/>
      </c>
      <c r="F483" s="9" t="str">
        <f>IF($A483="","",IF($C483="Bubble Mailer",2,1)*'Material Costs'!$D$6)</f>
        <v/>
      </c>
      <c r="G483" s="9" t="str">
        <f>IF($A483="","",1*'Material Costs'!$D$7)</f>
        <v/>
      </c>
      <c r="H483" s="9" t="str">
        <f>IF($A483="","",IF($C483="Bubble Mailer",1,0)*'Material Costs'!$D$5)</f>
        <v/>
      </c>
      <c r="I483" s="9" t="str">
        <f>IF($A483="","",IF($C483="ESE (Ding Defend)",1,0)*'Material Costs'!$D$4)</f>
        <v/>
      </c>
      <c r="J483" s="9"/>
      <c r="K483" s="9" t="str">
        <f t="shared" si="63"/>
        <v/>
      </c>
      <c r="L483" s="9"/>
      <c r="M483" s="9"/>
      <c r="N483" s="9"/>
      <c r="O483" s="9" t="str">
        <f t="shared" si="64"/>
        <v/>
      </c>
      <c r="P483" s="9"/>
      <c r="Q483" s="9" t="str">
        <f>IF($A483="","",IF($O483="", "", ROUND($O483*Settings!$B$2+Settings!$B$3,2)))</f>
        <v/>
      </c>
      <c r="R483" s="9" t="str">
        <f>IF($A483="","",IF($L483="", "", Settings!$B$4))</f>
        <v/>
      </c>
      <c r="S483" s="9" t="str">
        <f t="shared" si="65"/>
        <v/>
      </c>
      <c r="T483" s="9" t="str">
        <f t="shared" si="66"/>
        <v/>
      </c>
      <c r="U483" s="9" t="str">
        <f>IF($A483="","",IF($K483="", "", ROUND((($K483 + Settings!$B$3 + $R483) - IF($M483="",0,$M483))/(1-Settings!$B$2),2)))</f>
        <v/>
      </c>
      <c r="V483" s="9" t="str">
        <f>IF($A483="","",$L483-($L483*Settings!$B$2)-$J483-($B483+SUM($D483:$I483)))</f>
        <v/>
      </c>
      <c r="W483" s="9" t="str">
        <f>IF($A483="","",(($B483+SUM($D483:$I483)+$J483+Settings!$B$3)/(1-Settings!$B$2))-$M483)</f>
        <v/>
      </c>
      <c r="X483" s="10" t="str">
        <f t="shared" si="67"/>
        <v/>
      </c>
      <c r="Y483" s="10" t="str">
        <f t="shared" si="68"/>
        <v/>
      </c>
      <c r="Z483" s="10" t="str">
        <f t="shared" si="69"/>
        <v/>
      </c>
      <c r="AA483" s="10" t="str">
        <f t="shared" si="70"/>
        <v/>
      </c>
      <c r="AC483" s="11"/>
      <c r="AD483" s="11"/>
      <c r="AE483" s="12" t="str">
        <f t="shared" si="71"/>
        <v/>
      </c>
    </row>
    <row r="484" spans="2:31" x14ac:dyDescent="0.25">
      <c r="B484" s="9"/>
      <c r="C484" t="s">
        <v>31</v>
      </c>
      <c r="D484" s="9" t="str">
        <f>IF($A484="","",1*'Material Costs'!$D$3)</f>
        <v/>
      </c>
      <c r="E484" s="9" t="str">
        <f>IF($A484="","",1*'Material Costs'!$D$2)</f>
        <v/>
      </c>
      <c r="F484" s="9" t="str">
        <f>IF($A484="","",IF($C484="Bubble Mailer",2,1)*'Material Costs'!$D$6)</f>
        <v/>
      </c>
      <c r="G484" s="9" t="str">
        <f>IF($A484="","",1*'Material Costs'!$D$7)</f>
        <v/>
      </c>
      <c r="H484" s="9" t="str">
        <f>IF($A484="","",IF($C484="Bubble Mailer",1,0)*'Material Costs'!$D$5)</f>
        <v/>
      </c>
      <c r="I484" s="9" t="str">
        <f>IF($A484="","",IF($C484="ESE (Ding Defend)",1,0)*'Material Costs'!$D$4)</f>
        <v/>
      </c>
      <c r="J484" s="9"/>
      <c r="K484" s="9" t="str">
        <f t="shared" si="63"/>
        <v/>
      </c>
      <c r="L484" s="9"/>
      <c r="M484" s="9"/>
      <c r="N484" s="9"/>
      <c r="O484" s="9" t="str">
        <f t="shared" si="64"/>
        <v/>
      </c>
      <c r="P484" s="9"/>
      <c r="Q484" s="9" t="str">
        <f>IF($A484="","",IF($O484="", "", ROUND($O484*Settings!$B$2+Settings!$B$3,2)))</f>
        <v/>
      </c>
      <c r="R484" s="9" t="str">
        <f>IF($A484="","",IF($L484="", "", Settings!$B$4))</f>
        <v/>
      </c>
      <c r="S484" s="9" t="str">
        <f t="shared" si="65"/>
        <v/>
      </c>
      <c r="T484" s="9" t="str">
        <f t="shared" si="66"/>
        <v/>
      </c>
      <c r="U484" s="9" t="str">
        <f>IF($A484="","",IF($K484="", "", ROUND((($K484 + Settings!$B$3 + $R484) - IF($M484="",0,$M484))/(1-Settings!$B$2),2)))</f>
        <v/>
      </c>
      <c r="V484" s="9" t="str">
        <f>IF($A484="","",$L484-($L484*Settings!$B$2)-$J484-($B484+SUM($D484:$I484)))</f>
        <v/>
      </c>
      <c r="W484" s="9" t="str">
        <f>IF($A484="","",(($B484+SUM($D484:$I484)+$J484+Settings!$B$3)/(1-Settings!$B$2))-$M484)</f>
        <v/>
      </c>
      <c r="X484" s="10" t="str">
        <f t="shared" si="67"/>
        <v/>
      </c>
      <c r="Y484" s="10" t="str">
        <f t="shared" si="68"/>
        <v/>
      </c>
      <c r="Z484" s="10" t="str">
        <f t="shared" si="69"/>
        <v/>
      </c>
      <c r="AA484" s="10" t="str">
        <f t="shared" si="70"/>
        <v/>
      </c>
      <c r="AC484" s="11"/>
      <c r="AD484" s="11"/>
      <c r="AE484" s="12" t="str">
        <f t="shared" si="71"/>
        <v/>
      </c>
    </row>
    <row r="485" spans="2:31" x14ac:dyDescent="0.25">
      <c r="B485" s="9"/>
      <c r="C485" t="s">
        <v>31</v>
      </c>
      <c r="D485" s="9" t="str">
        <f>IF($A485="","",1*'Material Costs'!$D$3)</f>
        <v/>
      </c>
      <c r="E485" s="9" t="str">
        <f>IF($A485="","",1*'Material Costs'!$D$2)</f>
        <v/>
      </c>
      <c r="F485" s="9" t="str">
        <f>IF($A485="","",IF($C485="Bubble Mailer",2,1)*'Material Costs'!$D$6)</f>
        <v/>
      </c>
      <c r="G485" s="9" t="str">
        <f>IF($A485="","",1*'Material Costs'!$D$7)</f>
        <v/>
      </c>
      <c r="H485" s="9" t="str">
        <f>IF($A485="","",IF($C485="Bubble Mailer",1,0)*'Material Costs'!$D$5)</f>
        <v/>
      </c>
      <c r="I485" s="9" t="str">
        <f>IF($A485="","",IF($C485="ESE (Ding Defend)",1,0)*'Material Costs'!$D$4)</f>
        <v/>
      </c>
      <c r="J485" s="9"/>
      <c r="K485" s="9" t="str">
        <f t="shared" si="63"/>
        <v/>
      </c>
      <c r="L485" s="9"/>
      <c r="M485" s="9"/>
      <c r="N485" s="9"/>
      <c r="O485" s="9" t="str">
        <f t="shared" si="64"/>
        <v/>
      </c>
      <c r="P485" s="9"/>
      <c r="Q485" s="9" t="str">
        <f>IF($A485="","",IF($O485="", "", ROUND($O485*Settings!$B$2+Settings!$B$3,2)))</f>
        <v/>
      </c>
      <c r="R485" s="9" t="str">
        <f>IF($A485="","",IF($L485="", "", Settings!$B$4))</f>
        <v/>
      </c>
      <c r="S485" s="9" t="str">
        <f t="shared" si="65"/>
        <v/>
      </c>
      <c r="T485" s="9" t="str">
        <f t="shared" si="66"/>
        <v/>
      </c>
      <c r="U485" s="9" t="str">
        <f>IF($A485="","",IF($K485="", "", ROUND((($K485 + Settings!$B$3 + $R485) - IF($M485="",0,$M485))/(1-Settings!$B$2),2)))</f>
        <v/>
      </c>
      <c r="V485" s="9" t="str">
        <f>IF($A485="","",$L485-($L485*Settings!$B$2)-$J485-($B485+SUM($D485:$I485)))</f>
        <v/>
      </c>
      <c r="W485" s="9" t="str">
        <f>IF($A485="","",(($B485+SUM($D485:$I485)+$J485+Settings!$B$3)/(1-Settings!$B$2))-$M485)</f>
        <v/>
      </c>
      <c r="X485" s="10" t="str">
        <f t="shared" si="67"/>
        <v/>
      </c>
      <c r="Y485" s="10" t="str">
        <f t="shared" si="68"/>
        <v/>
      </c>
      <c r="Z485" s="10" t="str">
        <f t="shared" si="69"/>
        <v/>
      </c>
      <c r="AA485" s="10" t="str">
        <f t="shared" si="70"/>
        <v/>
      </c>
      <c r="AC485" s="11"/>
      <c r="AD485" s="11"/>
      <c r="AE485" s="12" t="str">
        <f t="shared" si="71"/>
        <v/>
      </c>
    </row>
    <row r="486" spans="2:31" x14ac:dyDescent="0.25">
      <c r="B486" s="9"/>
      <c r="C486" t="s">
        <v>31</v>
      </c>
      <c r="D486" s="9" t="str">
        <f>IF($A486="","",1*'Material Costs'!$D$3)</f>
        <v/>
      </c>
      <c r="E486" s="9" t="str">
        <f>IF($A486="","",1*'Material Costs'!$D$2)</f>
        <v/>
      </c>
      <c r="F486" s="9" t="str">
        <f>IF($A486="","",IF($C486="Bubble Mailer",2,1)*'Material Costs'!$D$6)</f>
        <v/>
      </c>
      <c r="G486" s="9" t="str">
        <f>IF($A486="","",1*'Material Costs'!$D$7)</f>
        <v/>
      </c>
      <c r="H486" s="9" t="str">
        <f>IF($A486="","",IF($C486="Bubble Mailer",1,0)*'Material Costs'!$D$5)</f>
        <v/>
      </c>
      <c r="I486" s="9" t="str">
        <f>IF($A486="","",IF($C486="ESE (Ding Defend)",1,0)*'Material Costs'!$D$4)</f>
        <v/>
      </c>
      <c r="J486" s="9"/>
      <c r="K486" s="9" t="str">
        <f t="shared" si="63"/>
        <v/>
      </c>
      <c r="L486" s="9"/>
      <c r="M486" s="9"/>
      <c r="N486" s="9"/>
      <c r="O486" s="9" t="str">
        <f t="shared" si="64"/>
        <v/>
      </c>
      <c r="P486" s="9"/>
      <c r="Q486" s="9" t="str">
        <f>IF($A486="","",IF($O486="", "", ROUND($O486*Settings!$B$2+Settings!$B$3,2)))</f>
        <v/>
      </c>
      <c r="R486" s="9" t="str">
        <f>IF($A486="","",IF($L486="", "", Settings!$B$4))</f>
        <v/>
      </c>
      <c r="S486" s="9" t="str">
        <f t="shared" si="65"/>
        <v/>
      </c>
      <c r="T486" s="9" t="str">
        <f t="shared" si="66"/>
        <v/>
      </c>
      <c r="U486" s="9" t="str">
        <f>IF($A486="","",IF($K486="", "", ROUND((($K486 + Settings!$B$3 + $R486) - IF($M486="",0,$M486))/(1-Settings!$B$2),2)))</f>
        <v/>
      </c>
      <c r="V486" s="9" t="str">
        <f>IF($A486="","",$L486-($L486*Settings!$B$2)-$J486-($B486+SUM($D486:$I486)))</f>
        <v/>
      </c>
      <c r="W486" s="9" t="str">
        <f>IF($A486="","",(($B486+SUM($D486:$I486)+$J486+Settings!$B$3)/(1-Settings!$B$2))-$M486)</f>
        <v/>
      </c>
      <c r="X486" s="10" t="str">
        <f t="shared" si="67"/>
        <v/>
      </c>
      <c r="Y486" s="10" t="str">
        <f t="shared" si="68"/>
        <v/>
      </c>
      <c r="Z486" s="10" t="str">
        <f t="shared" si="69"/>
        <v/>
      </c>
      <c r="AA486" s="10" t="str">
        <f t="shared" si="70"/>
        <v/>
      </c>
      <c r="AC486" s="11"/>
      <c r="AD486" s="11"/>
      <c r="AE486" s="12" t="str">
        <f t="shared" si="71"/>
        <v/>
      </c>
    </row>
    <row r="487" spans="2:31" x14ac:dyDescent="0.25">
      <c r="B487" s="9"/>
      <c r="C487" t="s">
        <v>31</v>
      </c>
      <c r="D487" s="9" t="str">
        <f>IF($A487="","",1*'Material Costs'!$D$3)</f>
        <v/>
      </c>
      <c r="E487" s="9" t="str">
        <f>IF($A487="","",1*'Material Costs'!$D$2)</f>
        <v/>
      </c>
      <c r="F487" s="9" t="str">
        <f>IF($A487="","",IF($C487="Bubble Mailer",2,1)*'Material Costs'!$D$6)</f>
        <v/>
      </c>
      <c r="G487" s="9" t="str">
        <f>IF($A487="","",1*'Material Costs'!$D$7)</f>
        <v/>
      </c>
      <c r="H487" s="9" t="str">
        <f>IF($A487="","",IF($C487="Bubble Mailer",1,0)*'Material Costs'!$D$5)</f>
        <v/>
      </c>
      <c r="I487" s="9" t="str">
        <f>IF($A487="","",IF($C487="ESE (Ding Defend)",1,0)*'Material Costs'!$D$4)</f>
        <v/>
      </c>
      <c r="J487" s="9"/>
      <c r="K487" s="9" t="str">
        <f t="shared" si="63"/>
        <v/>
      </c>
      <c r="L487" s="9"/>
      <c r="M487" s="9"/>
      <c r="N487" s="9"/>
      <c r="O487" s="9" t="str">
        <f t="shared" si="64"/>
        <v/>
      </c>
      <c r="P487" s="9"/>
      <c r="Q487" s="9" t="str">
        <f>IF($A487="","",IF($O487="", "", ROUND($O487*Settings!$B$2+Settings!$B$3,2)))</f>
        <v/>
      </c>
      <c r="R487" s="9" t="str">
        <f>IF($A487="","",IF($L487="", "", Settings!$B$4))</f>
        <v/>
      </c>
      <c r="S487" s="9" t="str">
        <f t="shared" si="65"/>
        <v/>
      </c>
      <c r="T487" s="9" t="str">
        <f t="shared" si="66"/>
        <v/>
      </c>
      <c r="U487" s="9" t="str">
        <f>IF($A487="","",IF($K487="", "", ROUND((($K487 + Settings!$B$3 + $R487) - IF($M487="",0,$M487))/(1-Settings!$B$2),2)))</f>
        <v/>
      </c>
      <c r="V487" s="9" t="str">
        <f>IF($A487="","",$L487-($L487*Settings!$B$2)-$J487-($B487+SUM($D487:$I487)))</f>
        <v/>
      </c>
      <c r="W487" s="9" t="str">
        <f>IF($A487="","",(($B487+SUM($D487:$I487)+$J487+Settings!$B$3)/(1-Settings!$B$2))-$M487)</f>
        <v/>
      </c>
      <c r="X487" s="10" t="str">
        <f t="shared" si="67"/>
        <v/>
      </c>
      <c r="Y487" s="10" t="str">
        <f t="shared" si="68"/>
        <v/>
      </c>
      <c r="Z487" s="10" t="str">
        <f t="shared" si="69"/>
        <v/>
      </c>
      <c r="AA487" s="10" t="str">
        <f t="shared" si="70"/>
        <v/>
      </c>
      <c r="AC487" s="11"/>
      <c r="AD487" s="11"/>
      <c r="AE487" s="12" t="str">
        <f t="shared" si="71"/>
        <v/>
      </c>
    </row>
    <row r="488" spans="2:31" x14ac:dyDescent="0.25">
      <c r="B488" s="9"/>
      <c r="C488" t="s">
        <v>31</v>
      </c>
      <c r="D488" s="9" t="str">
        <f>IF($A488="","",1*'Material Costs'!$D$3)</f>
        <v/>
      </c>
      <c r="E488" s="9" t="str">
        <f>IF($A488="","",1*'Material Costs'!$D$2)</f>
        <v/>
      </c>
      <c r="F488" s="9" t="str">
        <f>IF($A488="","",IF($C488="Bubble Mailer",2,1)*'Material Costs'!$D$6)</f>
        <v/>
      </c>
      <c r="G488" s="9" t="str">
        <f>IF($A488="","",1*'Material Costs'!$D$7)</f>
        <v/>
      </c>
      <c r="H488" s="9" t="str">
        <f>IF($A488="","",IF($C488="Bubble Mailer",1,0)*'Material Costs'!$D$5)</f>
        <v/>
      </c>
      <c r="I488" s="9" t="str">
        <f>IF($A488="","",IF($C488="ESE (Ding Defend)",1,0)*'Material Costs'!$D$4)</f>
        <v/>
      </c>
      <c r="J488" s="9"/>
      <c r="K488" s="9" t="str">
        <f t="shared" si="63"/>
        <v/>
      </c>
      <c r="L488" s="9"/>
      <c r="M488" s="9"/>
      <c r="N488" s="9"/>
      <c r="O488" s="9" t="str">
        <f t="shared" si="64"/>
        <v/>
      </c>
      <c r="P488" s="9"/>
      <c r="Q488" s="9" t="str">
        <f>IF($A488="","",IF($O488="", "", ROUND($O488*Settings!$B$2+Settings!$B$3,2)))</f>
        <v/>
      </c>
      <c r="R488" s="9" t="str">
        <f>IF($A488="","",IF($L488="", "", Settings!$B$4))</f>
        <v/>
      </c>
      <c r="S488" s="9" t="str">
        <f t="shared" si="65"/>
        <v/>
      </c>
      <c r="T488" s="9" t="str">
        <f t="shared" si="66"/>
        <v/>
      </c>
      <c r="U488" s="9" t="str">
        <f>IF($A488="","",IF($K488="", "", ROUND((($K488 + Settings!$B$3 + $R488) - IF($M488="",0,$M488))/(1-Settings!$B$2),2)))</f>
        <v/>
      </c>
      <c r="V488" s="9" t="str">
        <f>IF($A488="","",$L488-($L488*Settings!$B$2)-$J488-($B488+SUM($D488:$I488)))</f>
        <v/>
      </c>
      <c r="W488" s="9" t="str">
        <f>IF($A488="","",(($B488+SUM($D488:$I488)+$J488+Settings!$B$3)/(1-Settings!$B$2))-$M488)</f>
        <v/>
      </c>
      <c r="X488" s="10" t="str">
        <f t="shared" si="67"/>
        <v/>
      </c>
      <c r="Y488" s="10" t="str">
        <f t="shared" si="68"/>
        <v/>
      </c>
      <c r="Z488" s="10" t="str">
        <f t="shared" si="69"/>
        <v/>
      </c>
      <c r="AA488" s="10" t="str">
        <f t="shared" si="70"/>
        <v/>
      </c>
      <c r="AC488" s="11"/>
      <c r="AD488" s="11"/>
      <c r="AE488" s="12" t="str">
        <f t="shared" si="71"/>
        <v/>
      </c>
    </row>
    <row r="489" spans="2:31" x14ac:dyDescent="0.25">
      <c r="B489" s="9"/>
      <c r="C489" t="s">
        <v>31</v>
      </c>
      <c r="D489" s="9" t="str">
        <f>IF($A489="","",1*'Material Costs'!$D$3)</f>
        <v/>
      </c>
      <c r="E489" s="9" t="str">
        <f>IF($A489="","",1*'Material Costs'!$D$2)</f>
        <v/>
      </c>
      <c r="F489" s="9" t="str">
        <f>IF($A489="","",IF($C489="Bubble Mailer",2,1)*'Material Costs'!$D$6)</f>
        <v/>
      </c>
      <c r="G489" s="9" t="str">
        <f>IF($A489="","",1*'Material Costs'!$D$7)</f>
        <v/>
      </c>
      <c r="H489" s="9" t="str">
        <f>IF($A489="","",IF($C489="Bubble Mailer",1,0)*'Material Costs'!$D$5)</f>
        <v/>
      </c>
      <c r="I489" s="9" t="str">
        <f>IF($A489="","",IF($C489="ESE (Ding Defend)",1,0)*'Material Costs'!$D$4)</f>
        <v/>
      </c>
      <c r="J489" s="9"/>
      <c r="K489" s="9" t="str">
        <f t="shared" si="63"/>
        <v/>
      </c>
      <c r="L489" s="9"/>
      <c r="M489" s="9"/>
      <c r="N489" s="9"/>
      <c r="O489" s="9" t="str">
        <f t="shared" si="64"/>
        <v/>
      </c>
      <c r="P489" s="9"/>
      <c r="Q489" s="9" t="str">
        <f>IF($A489="","",IF($O489="", "", ROUND($O489*Settings!$B$2+Settings!$B$3,2)))</f>
        <v/>
      </c>
      <c r="R489" s="9" t="str">
        <f>IF($A489="","",IF($L489="", "", Settings!$B$4))</f>
        <v/>
      </c>
      <c r="S489" s="9" t="str">
        <f t="shared" si="65"/>
        <v/>
      </c>
      <c r="T489" s="9" t="str">
        <f t="shared" si="66"/>
        <v/>
      </c>
      <c r="U489" s="9" t="str">
        <f>IF($A489="","",IF($K489="", "", ROUND((($K489 + Settings!$B$3 + $R489) - IF($M489="",0,$M489))/(1-Settings!$B$2),2)))</f>
        <v/>
      </c>
      <c r="V489" s="9" t="str">
        <f>IF($A489="","",$L489-($L489*Settings!$B$2)-$J489-($B489+SUM($D489:$I489)))</f>
        <v/>
      </c>
      <c r="W489" s="9" t="str">
        <f>IF($A489="","",(($B489+SUM($D489:$I489)+$J489+Settings!$B$3)/(1-Settings!$B$2))-$M489)</f>
        <v/>
      </c>
      <c r="X489" s="10" t="str">
        <f t="shared" si="67"/>
        <v/>
      </c>
      <c r="Y489" s="10" t="str">
        <f t="shared" si="68"/>
        <v/>
      </c>
      <c r="Z489" s="10" t="str">
        <f t="shared" si="69"/>
        <v/>
      </c>
      <c r="AA489" s="10" t="str">
        <f t="shared" si="70"/>
        <v/>
      </c>
      <c r="AC489" s="11"/>
      <c r="AD489" s="11"/>
      <c r="AE489" s="12" t="str">
        <f t="shared" si="71"/>
        <v/>
      </c>
    </row>
    <row r="490" spans="2:31" x14ac:dyDescent="0.25">
      <c r="B490" s="9"/>
      <c r="C490" t="s">
        <v>31</v>
      </c>
      <c r="D490" s="9" t="str">
        <f>IF($A490="","",1*'Material Costs'!$D$3)</f>
        <v/>
      </c>
      <c r="E490" s="9" t="str">
        <f>IF($A490="","",1*'Material Costs'!$D$2)</f>
        <v/>
      </c>
      <c r="F490" s="9" t="str">
        <f>IF($A490="","",IF($C490="Bubble Mailer",2,1)*'Material Costs'!$D$6)</f>
        <v/>
      </c>
      <c r="G490" s="9" t="str">
        <f>IF($A490="","",1*'Material Costs'!$D$7)</f>
        <v/>
      </c>
      <c r="H490" s="9" t="str">
        <f>IF($A490="","",IF($C490="Bubble Mailer",1,0)*'Material Costs'!$D$5)</f>
        <v/>
      </c>
      <c r="I490" s="9" t="str">
        <f>IF($A490="","",IF($C490="ESE (Ding Defend)",1,0)*'Material Costs'!$D$4)</f>
        <v/>
      </c>
      <c r="J490" s="9"/>
      <c r="K490" s="9" t="str">
        <f t="shared" si="63"/>
        <v/>
      </c>
      <c r="L490" s="9"/>
      <c r="M490" s="9"/>
      <c r="N490" s="9"/>
      <c r="O490" s="9" t="str">
        <f t="shared" si="64"/>
        <v/>
      </c>
      <c r="P490" s="9"/>
      <c r="Q490" s="9" t="str">
        <f>IF($A490="","",IF($O490="", "", ROUND($O490*Settings!$B$2+Settings!$B$3,2)))</f>
        <v/>
      </c>
      <c r="R490" s="9" t="str">
        <f>IF($A490="","",IF($L490="", "", Settings!$B$4))</f>
        <v/>
      </c>
      <c r="S490" s="9" t="str">
        <f t="shared" si="65"/>
        <v/>
      </c>
      <c r="T490" s="9" t="str">
        <f t="shared" si="66"/>
        <v/>
      </c>
      <c r="U490" s="9" t="str">
        <f>IF($A490="","",IF($K490="", "", ROUND((($K490 + Settings!$B$3 + $R490) - IF($M490="",0,$M490))/(1-Settings!$B$2),2)))</f>
        <v/>
      </c>
      <c r="V490" s="9" t="str">
        <f>IF($A490="","",$L490-($L490*Settings!$B$2)-$J490-($B490+SUM($D490:$I490)))</f>
        <v/>
      </c>
      <c r="W490" s="9" t="str">
        <f>IF($A490="","",(($B490+SUM($D490:$I490)+$J490+Settings!$B$3)/(1-Settings!$B$2))-$M490)</f>
        <v/>
      </c>
      <c r="X490" s="10" t="str">
        <f t="shared" si="67"/>
        <v/>
      </c>
      <c r="Y490" s="10" t="str">
        <f t="shared" si="68"/>
        <v/>
      </c>
      <c r="Z490" s="10" t="str">
        <f t="shared" si="69"/>
        <v/>
      </c>
      <c r="AA490" s="10" t="str">
        <f t="shared" si="70"/>
        <v/>
      </c>
      <c r="AC490" s="11"/>
      <c r="AD490" s="11"/>
      <c r="AE490" s="12" t="str">
        <f t="shared" si="71"/>
        <v/>
      </c>
    </row>
    <row r="491" spans="2:31" x14ac:dyDescent="0.25">
      <c r="B491" s="9"/>
      <c r="C491" t="s">
        <v>31</v>
      </c>
      <c r="D491" s="9" t="str">
        <f>IF($A491="","",1*'Material Costs'!$D$3)</f>
        <v/>
      </c>
      <c r="E491" s="9" t="str">
        <f>IF($A491="","",1*'Material Costs'!$D$2)</f>
        <v/>
      </c>
      <c r="F491" s="9" t="str">
        <f>IF($A491="","",IF($C491="Bubble Mailer",2,1)*'Material Costs'!$D$6)</f>
        <v/>
      </c>
      <c r="G491" s="9" t="str">
        <f>IF($A491="","",1*'Material Costs'!$D$7)</f>
        <v/>
      </c>
      <c r="H491" s="9" t="str">
        <f>IF($A491="","",IF($C491="Bubble Mailer",1,0)*'Material Costs'!$D$5)</f>
        <v/>
      </c>
      <c r="I491" s="9" t="str">
        <f>IF($A491="","",IF($C491="ESE (Ding Defend)",1,0)*'Material Costs'!$D$4)</f>
        <v/>
      </c>
      <c r="J491" s="9"/>
      <c r="K491" s="9" t="str">
        <f t="shared" si="63"/>
        <v/>
      </c>
      <c r="L491" s="9"/>
      <c r="M491" s="9"/>
      <c r="N491" s="9"/>
      <c r="O491" s="9" t="str">
        <f t="shared" si="64"/>
        <v/>
      </c>
      <c r="P491" s="9"/>
      <c r="Q491" s="9" t="str">
        <f>IF($A491="","",IF($O491="", "", ROUND($O491*Settings!$B$2+Settings!$B$3,2)))</f>
        <v/>
      </c>
      <c r="R491" s="9" t="str">
        <f>IF($A491="","",IF($L491="", "", Settings!$B$4))</f>
        <v/>
      </c>
      <c r="S491" s="9" t="str">
        <f t="shared" si="65"/>
        <v/>
      </c>
      <c r="T491" s="9" t="str">
        <f t="shared" si="66"/>
        <v/>
      </c>
      <c r="U491" s="9" t="str">
        <f>IF($A491="","",IF($K491="", "", ROUND((($K491 + Settings!$B$3 + $R491) - IF($M491="",0,$M491))/(1-Settings!$B$2),2)))</f>
        <v/>
      </c>
      <c r="V491" s="9" t="str">
        <f>IF($A491="","",$L491-($L491*Settings!$B$2)-$J491-($B491+SUM($D491:$I491)))</f>
        <v/>
      </c>
      <c r="W491" s="9" t="str">
        <f>IF($A491="","",(($B491+SUM($D491:$I491)+$J491+Settings!$B$3)/(1-Settings!$B$2))-$M491)</f>
        <v/>
      </c>
      <c r="X491" s="10" t="str">
        <f t="shared" si="67"/>
        <v/>
      </c>
      <c r="Y491" s="10" t="str">
        <f t="shared" si="68"/>
        <v/>
      </c>
      <c r="Z491" s="10" t="str">
        <f t="shared" si="69"/>
        <v/>
      </c>
      <c r="AA491" s="10" t="str">
        <f t="shared" si="70"/>
        <v/>
      </c>
      <c r="AC491" s="11"/>
      <c r="AD491" s="11"/>
      <c r="AE491" s="12" t="str">
        <f t="shared" si="71"/>
        <v/>
      </c>
    </row>
    <row r="492" spans="2:31" x14ac:dyDescent="0.25">
      <c r="B492" s="9"/>
      <c r="C492" t="s">
        <v>31</v>
      </c>
      <c r="D492" s="9" t="str">
        <f>IF($A492="","",1*'Material Costs'!$D$3)</f>
        <v/>
      </c>
      <c r="E492" s="9" t="str">
        <f>IF($A492="","",1*'Material Costs'!$D$2)</f>
        <v/>
      </c>
      <c r="F492" s="9" t="str">
        <f>IF($A492="","",IF($C492="Bubble Mailer",2,1)*'Material Costs'!$D$6)</f>
        <v/>
      </c>
      <c r="G492" s="9" t="str">
        <f>IF($A492="","",1*'Material Costs'!$D$7)</f>
        <v/>
      </c>
      <c r="H492" s="9" t="str">
        <f>IF($A492="","",IF($C492="Bubble Mailer",1,0)*'Material Costs'!$D$5)</f>
        <v/>
      </c>
      <c r="I492" s="9" t="str">
        <f>IF($A492="","",IF($C492="ESE (Ding Defend)",1,0)*'Material Costs'!$D$4)</f>
        <v/>
      </c>
      <c r="J492" s="9"/>
      <c r="K492" s="9" t="str">
        <f t="shared" si="63"/>
        <v/>
      </c>
      <c r="L492" s="9"/>
      <c r="M492" s="9"/>
      <c r="N492" s="9"/>
      <c r="O492" s="9" t="str">
        <f t="shared" si="64"/>
        <v/>
      </c>
      <c r="P492" s="9"/>
      <c r="Q492" s="9" t="str">
        <f>IF($A492="","",IF($O492="", "", ROUND($O492*Settings!$B$2+Settings!$B$3,2)))</f>
        <v/>
      </c>
      <c r="R492" s="9" t="str">
        <f>IF($A492="","",IF($L492="", "", Settings!$B$4))</f>
        <v/>
      </c>
      <c r="S492" s="9" t="str">
        <f t="shared" si="65"/>
        <v/>
      </c>
      <c r="T492" s="9" t="str">
        <f t="shared" si="66"/>
        <v/>
      </c>
      <c r="U492" s="9" t="str">
        <f>IF($A492="","",IF($K492="", "", ROUND((($K492 + Settings!$B$3 + $R492) - IF($M492="",0,$M492))/(1-Settings!$B$2),2)))</f>
        <v/>
      </c>
      <c r="V492" s="9" t="str">
        <f>IF($A492="","",$L492-($L492*Settings!$B$2)-$J492-($B492+SUM($D492:$I492)))</f>
        <v/>
      </c>
      <c r="W492" s="9" t="str">
        <f>IF($A492="","",(($B492+SUM($D492:$I492)+$J492+Settings!$B$3)/(1-Settings!$B$2))-$M492)</f>
        <v/>
      </c>
      <c r="X492" s="10" t="str">
        <f t="shared" si="67"/>
        <v/>
      </c>
      <c r="Y492" s="10" t="str">
        <f t="shared" si="68"/>
        <v/>
      </c>
      <c r="Z492" s="10" t="str">
        <f t="shared" si="69"/>
        <v/>
      </c>
      <c r="AA492" s="10" t="str">
        <f t="shared" si="70"/>
        <v/>
      </c>
      <c r="AC492" s="11"/>
      <c r="AD492" s="11"/>
      <c r="AE492" s="12" t="str">
        <f t="shared" si="71"/>
        <v/>
      </c>
    </row>
    <row r="493" spans="2:31" x14ac:dyDescent="0.25">
      <c r="B493" s="9"/>
      <c r="C493" t="s">
        <v>31</v>
      </c>
      <c r="D493" s="9" t="str">
        <f>IF($A493="","",1*'Material Costs'!$D$3)</f>
        <v/>
      </c>
      <c r="E493" s="9" t="str">
        <f>IF($A493="","",1*'Material Costs'!$D$2)</f>
        <v/>
      </c>
      <c r="F493" s="9" t="str">
        <f>IF($A493="","",IF($C493="Bubble Mailer",2,1)*'Material Costs'!$D$6)</f>
        <v/>
      </c>
      <c r="G493" s="9" t="str">
        <f>IF($A493="","",1*'Material Costs'!$D$7)</f>
        <v/>
      </c>
      <c r="H493" s="9" t="str">
        <f>IF($A493="","",IF($C493="Bubble Mailer",1,0)*'Material Costs'!$D$5)</f>
        <v/>
      </c>
      <c r="I493" s="9" t="str">
        <f>IF($A493="","",IF($C493="ESE (Ding Defend)",1,0)*'Material Costs'!$D$4)</f>
        <v/>
      </c>
      <c r="J493" s="9"/>
      <c r="K493" s="9" t="str">
        <f t="shared" si="63"/>
        <v/>
      </c>
      <c r="L493" s="9"/>
      <c r="M493" s="9"/>
      <c r="N493" s="9"/>
      <c r="O493" s="9" t="str">
        <f t="shared" si="64"/>
        <v/>
      </c>
      <c r="P493" s="9"/>
      <c r="Q493" s="9" t="str">
        <f>IF($A493="","",IF($O493="", "", ROUND($O493*Settings!$B$2+Settings!$B$3,2)))</f>
        <v/>
      </c>
      <c r="R493" s="9" t="str">
        <f>IF($A493="","",IF($L493="", "", Settings!$B$4))</f>
        <v/>
      </c>
      <c r="S493" s="9" t="str">
        <f t="shared" si="65"/>
        <v/>
      </c>
      <c r="T493" s="9" t="str">
        <f t="shared" si="66"/>
        <v/>
      </c>
      <c r="U493" s="9" t="str">
        <f>IF($A493="","",IF($K493="", "", ROUND((($K493 + Settings!$B$3 + $R493) - IF($M493="",0,$M493))/(1-Settings!$B$2),2)))</f>
        <v/>
      </c>
      <c r="V493" s="9" t="str">
        <f>IF($A493="","",$L493-($L493*Settings!$B$2)-$J493-($B493+SUM($D493:$I493)))</f>
        <v/>
      </c>
      <c r="W493" s="9" t="str">
        <f>IF($A493="","",(($B493+SUM($D493:$I493)+$J493+Settings!$B$3)/(1-Settings!$B$2))-$M493)</f>
        <v/>
      </c>
      <c r="X493" s="10" t="str">
        <f t="shared" si="67"/>
        <v/>
      </c>
      <c r="Y493" s="10" t="str">
        <f t="shared" si="68"/>
        <v/>
      </c>
      <c r="Z493" s="10" t="str">
        <f t="shared" si="69"/>
        <v/>
      </c>
      <c r="AA493" s="10" t="str">
        <f t="shared" si="70"/>
        <v/>
      </c>
      <c r="AC493" s="11"/>
      <c r="AD493" s="11"/>
      <c r="AE493" s="12" t="str">
        <f t="shared" si="71"/>
        <v/>
      </c>
    </row>
    <row r="494" spans="2:31" x14ac:dyDescent="0.25">
      <c r="B494" s="9"/>
      <c r="C494" t="s">
        <v>31</v>
      </c>
      <c r="D494" s="9" t="str">
        <f>IF($A494="","",1*'Material Costs'!$D$3)</f>
        <v/>
      </c>
      <c r="E494" s="9" t="str">
        <f>IF($A494="","",1*'Material Costs'!$D$2)</f>
        <v/>
      </c>
      <c r="F494" s="9" t="str">
        <f>IF($A494="","",IF($C494="Bubble Mailer",2,1)*'Material Costs'!$D$6)</f>
        <v/>
      </c>
      <c r="G494" s="9" t="str">
        <f>IF($A494="","",1*'Material Costs'!$D$7)</f>
        <v/>
      </c>
      <c r="H494" s="9" t="str">
        <f>IF($A494="","",IF($C494="Bubble Mailer",1,0)*'Material Costs'!$D$5)</f>
        <v/>
      </c>
      <c r="I494" s="9" t="str">
        <f>IF($A494="","",IF($C494="ESE (Ding Defend)",1,0)*'Material Costs'!$D$4)</f>
        <v/>
      </c>
      <c r="J494" s="9"/>
      <c r="K494" s="9" t="str">
        <f t="shared" si="63"/>
        <v/>
      </c>
      <c r="L494" s="9"/>
      <c r="M494" s="9"/>
      <c r="N494" s="9"/>
      <c r="O494" s="9" t="str">
        <f t="shared" si="64"/>
        <v/>
      </c>
      <c r="P494" s="9"/>
      <c r="Q494" s="9" t="str">
        <f>IF($A494="","",IF($O494="", "", ROUND($O494*Settings!$B$2+Settings!$B$3,2)))</f>
        <v/>
      </c>
      <c r="R494" s="9" t="str">
        <f>IF($A494="","",IF($L494="", "", Settings!$B$4))</f>
        <v/>
      </c>
      <c r="S494" s="9" t="str">
        <f t="shared" si="65"/>
        <v/>
      </c>
      <c r="T494" s="9" t="str">
        <f t="shared" si="66"/>
        <v/>
      </c>
      <c r="U494" s="9" t="str">
        <f>IF($A494="","",IF($K494="", "", ROUND((($K494 + Settings!$B$3 + $R494) - IF($M494="",0,$M494))/(1-Settings!$B$2),2)))</f>
        <v/>
      </c>
      <c r="V494" s="9" t="str">
        <f>IF($A494="","",$L494-($L494*Settings!$B$2)-$J494-($B494+SUM($D494:$I494)))</f>
        <v/>
      </c>
      <c r="W494" s="9" t="str">
        <f>IF($A494="","",(($B494+SUM($D494:$I494)+$J494+Settings!$B$3)/(1-Settings!$B$2))-$M494)</f>
        <v/>
      </c>
      <c r="X494" s="10" t="str">
        <f t="shared" si="67"/>
        <v/>
      </c>
      <c r="Y494" s="10" t="str">
        <f t="shared" si="68"/>
        <v/>
      </c>
      <c r="Z494" s="10" t="str">
        <f t="shared" si="69"/>
        <v/>
      </c>
      <c r="AA494" s="10" t="str">
        <f t="shared" si="70"/>
        <v/>
      </c>
      <c r="AC494" s="11"/>
      <c r="AD494" s="11"/>
      <c r="AE494" s="12" t="str">
        <f t="shared" si="71"/>
        <v/>
      </c>
    </row>
    <row r="495" spans="2:31" x14ac:dyDescent="0.25">
      <c r="B495" s="9"/>
      <c r="C495" t="s">
        <v>31</v>
      </c>
      <c r="D495" s="9" t="str">
        <f>IF($A495="","",1*'Material Costs'!$D$3)</f>
        <v/>
      </c>
      <c r="E495" s="9" t="str">
        <f>IF($A495="","",1*'Material Costs'!$D$2)</f>
        <v/>
      </c>
      <c r="F495" s="9" t="str">
        <f>IF($A495="","",IF($C495="Bubble Mailer",2,1)*'Material Costs'!$D$6)</f>
        <v/>
      </c>
      <c r="G495" s="9" t="str">
        <f>IF($A495="","",1*'Material Costs'!$D$7)</f>
        <v/>
      </c>
      <c r="H495" s="9" t="str">
        <f>IF($A495="","",IF($C495="Bubble Mailer",1,0)*'Material Costs'!$D$5)</f>
        <v/>
      </c>
      <c r="I495" s="9" t="str">
        <f>IF($A495="","",IF($C495="ESE (Ding Defend)",1,0)*'Material Costs'!$D$4)</f>
        <v/>
      </c>
      <c r="J495" s="9"/>
      <c r="K495" s="9" t="str">
        <f t="shared" si="63"/>
        <v/>
      </c>
      <c r="L495" s="9"/>
      <c r="M495" s="9"/>
      <c r="N495" s="9"/>
      <c r="O495" s="9" t="str">
        <f t="shared" si="64"/>
        <v/>
      </c>
      <c r="P495" s="9"/>
      <c r="Q495" s="9" t="str">
        <f>IF($A495="","",IF($O495="", "", ROUND($O495*Settings!$B$2+Settings!$B$3,2)))</f>
        <v/>
      </c>
      <c r="R495" s="9" t="str">
        <f>IF($A495="","",IF($L495="", "", Settings!$B$4))</f>
        <v/>
      </c>
      <c r="S495" s="9" t="str">
        <f t="shared" si="65"/>
        <v/>
      </c>
      <c r="T495" s="9" t="str">
        <f t="shared" si="66"/>
        <v/>
      </c>
      <c r="U495" s="9" t="str">
        <f>IF($A495="","",IF($K495="", "", ROUND((($K495 + Settings!$B$3 + $R495) - IF($M495="",0,$M495))/(1-Settings!$B$2),2)))</f>
        <v/>
      </c>
      <c r="V495" s="9" t="str">
        <f>IF($A495="","",$L495-($L495*Settings!$B$2)-$J495-($B495+SUM($D495:$I495)))</f>
        <v/>
      </c>
      <c r="W495" s="9" t="str">
        <f>IF($A495="","",(($B495+SUM($D495:$I495)+$J495+Settings!$B$3)/(1-Settings!$B$2))-$M495)</f>
        <v/>
      </c>
      <c r="X495" s="10" t="str">
        <f t="shared" si="67"/>
        <v/>
      </c>
      <c r="Y495" s="10" t="str">
        <f t="shared" si="68"/>
        <v/>
      </c>
      <c r="Z495" s="10" t="str">
        <f t="shared" si="69"/>
        <v/>
      </c>
      <c r="AA495" s="10" t="str">
        <f t="shared" si="70"/>
        <v/>
      </c>
      <c r="AC495" s="11"/>
      <c r="AD495" s="11"/>
      <c r="AE495" s="12" t="str">
        <f t="shared" si="71"/>
        <v/>
      </c>
    </row>
    <row r="496" spans="2:31" x14ac:dyDescent="0.25">
      <c r="B496" s="9"/>
      <c r="C496" t="s">
        <v>31</v>
      </c>
      <c r="D496" s="9" t="str">
        <f>IF($A496="","",1*'Material Costs'!$D$3)</f>
        <v/>
      </c>
      <c r="E496" s="9" t="str">
        <f>IF($A496="","",1*'Material Costs'!$D$2)</f>
        <v/>
      </c>
      <c r="F496" s="9" t="str">
        <f>IF($A496="","",IF($C496="Bubble Mailer",2,1)*'Material Costs'!$D$6)</f>
        <v/>
      </c>
      <c r="G496" s="9" t="str">
        <f>IF($A496="","",1*'Material Costs'!$D$7)</f>
        <v/>
      </c>
      <c r="H496" s="9" t="str">
        <f>IF($A496="","",IF($C496="Bubble Mailer",1,0)*'Material Costs'!$D$5)</f>
        <v/>
      </c>
      <c r="I496" s="9" t="str">
        <f>IF($A496="","",IF($C496="ESE (Ding Defend)",1,0)*'Material Costs'!$D$4)</f>
        <v/>
      </c>
      <c r="J496" s="9"/>
      <c r="K496" s="9" t="str">
        <f t="shared" si="63"/>
        <v/>
      </c>
      <c r="L496" s="9"/>
      <c r="M496" s="9"/>
      <c r="N496" s="9"/>
      <c r="O496" s="9" t="str">
        <f t="shared" si="64"/>
        <v/>
      </c>
      <c r="P496" s="9"/>
      <c r="Q496" s="9" t="str">
        <f>IF($A496="","",IF($O496="", "", ROUND($O496*Settings!$B$2+Settings!$B$3,2)))</f>
        <v/>
      </c>
      <c r="R496" s="9" t="str">
        <f>IF($A496="","",IF($L496="", "", Settings!$B$4))</f>
        <v/>
      </c>
      <c r="S496" s="9" t="str">
        <f t="shared" si="65"/>
        <v/>
      </c>
      <c r="T496" s="9" t="str">
        <f t="shared" si="66"/>
        <v/>
      </c>
      <c r="U496" s="9" t="str">
        <f>IF($A496="","",IF($K496="", "", ROUND((($K496 + Settings!$B$3 + $R496) - IF($M496="",0,$M496))/(1-Settings!$B$2),2)))</f>
        <v/>
      </c>
      <c r="V496" s="9" t="str">
        <f>IF($A496="","",$L496-($L496*Settings!$B$2)-$J496-($B496+SUM($D496:$I496)))</f>
        <v/>
      </c>
      <c r="W496" s="9" t="str">
        <f>IF($A496="","",(($B496+SUM($D496:$I496)+$J496+Settings!$B$3)/(1-Settings!$B$2))-$M496)</f>
        <v/>
      </c>
      <c r="X496" s="10" t="str">
        <f t="shared" si="67"/>
        <v/>
      </c>
      <c r="Y496" s="10" t="str">
        <f t="shared" si="68"/>
        <v/>
      </c>
      <c r="Z496" s="10" t="str">
        <f t="shared" si="69"/>
        <v/>
      </c>
      <c r="AA496" s="10" t="str">
        <f t="shared" si="70"/>
        <v/>
      </c>
      <c r="AC496" s="11"/>
      <c r="AD496" s="11"/>
      <c r="AE496" s="12" t="str">
        <f t="shared" si="71"/>
        <v/>
      </c>
    </row>
    <row r="497" spans="1:31" x14ac:dyDescent="0.25">
      <c r="B497" s="9"/>
      <c r="C497" t="s">
        <v>31</v>
      </c>
      <c r="D497" s="9" t="str">
        <f>IF($A497="","",1*'Material Costs'!$D$3)</f>
        <v/>
      </c>
      <c r="E497" s="9" t="str">
        <f>IF($A497="","",1*'Material Costs'!$D$2)</f>
        <v/>
      </c>
      <c r="F497" s="9" t="str">
        <f>IF($A497="","",IF($C497="Bubble Mailer",2,1)*'Material Costs'!$D$6)</f>
        <v/>
      </c>
      <c r="G497" s="9" t="str">
        <f>IF($A497="","",1*'Material Costs'!$D$7)</f>
        <v/>
      </c>
      <c r="H497" s="9" t="str">
        <f>IF($A497="","",IF($C497="Bubble Mailer",1,0)*'Material Costs'!$D$5)</f>
        <v/>
      </c>
      <c r="I497" s="9" t="str">
        <f>IF($A497="","",IF($C497="ESE (Ding Defend)",1,0)*'Material Costs'!$D$4)</f>
        <v/>
      </c>
      <c r="J497" s="9"/>
      <c r="K497" s="9" t="str">
        <f t="shared" si="63"/>
        <v/>
      </c>
      <c r="L497" s="9"/>
      <c r="M497" s="9"/>
      <c r="N497" s="9"/>
      <c r="O497" s="9" t="str">
        <f t="shared" si="64"/>
        <v/>
      </c>
      <c r="P497" s="9"/>
      <c r="Q497" s="9" t="str">
        <f>IF($A497="","",IF($O497="", "", ROUND($O497*Settings!$B$2+Settings!$B$3,2)))</f>
        <v/>
      </c>
      <c r="R497" s="9" t="str">
        <f>IF($A497="","",IF($L497="", "", Settings!$B$4))</f>
        <v/>
      </c>
      <c r="S497" s="9" t="str">
        <f t="shared" si="65"/>
        <v/>
      </c>
      <c r="T497" s="9" t="str">
        <f t="shared" si="66"/>
        <v/>
      </c>
      <c r="U497" s="9" t="str">
        <f>IF($A497="","",IF($K497="", "", ROUND((($K497 + Settings!$B$3 + $R497) - IF($M497="",0,$M497))/(1-Settings!$B$2),2)))</f>
        <v/>
      </c>
      <c r="V497" s="9" t="str">
        <f>IF($A497="","",$L497-($L497*Settings!$B$2)-$J497-($B497+SUM($D497:$I497)))</f>
        <v/>
      </c>
      <c r="W497" s="9" t="str">
        <f>IF($A497="","",(($B497+SUM($D497:$I497)+$J497+Settings!$B$3)/(1-Settings!$B$2))-$M497)</f>
        <v/>
      </c>
      <c r="X497" s="10" t="str">
        <f t="shared" si="67"/>
        <v/>
      </c>
      <c r="Y497" s="10" t="str">
        <f t="shared" si="68"/>
        <v/>
      </c>
      <c r="Z497" s="10" t="str">
        <f t="shared" si="69"/>
        <v/>
      </c>
      <c r="AA497" s="10" t="str">
        <f t="shared" si="70"/>
        <v/>
      </c>
      <c r="AC497" s="11"/>
      <c r="AD497" s="11"/>
      <c r="AE497" s="12" t="str">
        <f t="shared" si="71"/>
        <v/>
      </c>
    </row>
    <row r="498" spans="1:31" x14ac:dyDescent="0.25">
      <c r="B498" s="9"/>
      <c r="C498" t="s">
        <v>31</v>
      </c>
      <c r="D498" s="9" t="str">
        <f>IF($A498="","",1*'Material Costs'!$D$3)</f>
        <v/>
      </c>
      <c r="E498" s="9" t="str">
        <f>IF($A498="","",1*'Material Costs'!$D$2)</f>
        <v/>
      </c>
      <c r="F498" s="9" t="str">
        <f>IF($A498="","",IF($C498="Bubble Mailer",2,1)*'Material Costs'!$D$6)</f>
        <v/>
      </c>
      <c r="G498" s="9" t="str">
        <f>IF($A498="","",1*'Material Costs'!$D$7)</f>
        <v/>
      </c>
      <c r="H498" s="9" t="str">
        <f>IF($A498="","",IF($C498="Bubble Mailer",1,0)*'Material Costs'!$D$5)</f>
        <v/>
      </c>
      <c r="I498" s="9" t="str">
        <f>IF($A498="","",IF($C498="ESE (Ding Defend)",1,0)*'Material Costs'!$D$4)</f>
        <v/>
      </c>
      <c r="J498" s="9"/>
      <c r="K498" s="9" t="str">
        <f t="shared" si="63"/>
        <v/>
      </c>
      <c r="L498" s="9"/>
      <c r="M498" s="9"/>
      <c r="N498" s="9"/>
      <c r="O498" s="9" t="str">
        <f t="shared" si="64"/>
        <v/>
      </c>
      <c r="P498" s="9"/>
      <c r="Q498" s="9" t="str">
        <f>IF($A498="","",IF($O498="", "", ROUND($O498*Settings!$B$2+Settings!$B$3,2)))</f>
        <v/>
      </c>
      <c r="R498" s="9" t="str">
        <f>IF($A498="","",IF($L498="", "", Settings!$B$4))</f>
        <v/>
      </c>
      <c r="S498" s="9" t="str">
        <f t="shared" si="65"/>
        <v/>
      </c>
      <c r="T498" s="9" t="str">
        <f t="shared" si="66"/>
        <v/>
      </c>
      <c r="U498" s="9" t="str">
        <f>IF($A498="","",IF($K498="", "", ROUND((($K498 + Settings!$B$3 + $R498) - IF($M498="",0,$M498))/(1-Settings!$B$2),2)))</f>
        <v/>
      </c>
      <c r="V498" s="9" t="str">
        <f>IF($A498="","",$L498-($L498*Settings!$B$2)-$J498-($B498+SUM($D498:$I498)))</f>
        <v/>
      </c>
      <c r="W498" s="9" t="str">
        <f>IF($A498="","",(($B498+SUM($D498:$I498)+$J498+Settings!$B$3)/(1-Settings!$B$2))-$M498)</f>
        <v/>
      </c>
      <c r="X498" s="10" t="str">
        <f t="shared" si="67"/>
        <v/>
      </c>
      <c r="Y498" s="10" t="str">
        <f t="shared" si="68"/>
        <v/>
      </c>
      <c r="Z498" s="10" t="str">
        <f t="shared" si="69"/>
        <v/>
      </c>
      <c r="AA498" s="10" t="str">
        <f t="shared" si="70"/>
        <v/>
      </c>
      <c r="AC498" s="11"/>
      <c r="AD498" s="11"/>
      <c r="AE498" s="12" t="str">
        <f t="shared" si="71"/>
        <v/>
      </c>
    </row>
    <row r="499" spans="1:31" x14ac:dyDescent="0.25">
      <c r="B499" s="9"/>
      <c r="C499" t="s">
        <v>31</v>
      </c>
      <c r="D499" s="9" t="str">
        <f>IF($A499="","",1*'Material Costs'!$D$3)</f>
        <v/>
      </c>
      <c r="E499" s="9" t="str">
        <f>IF($A499="","",1*'Material Costs'!$D$2)</f>
        <v/>
      </c>
      <c r="F499" s="9" t="str">
        <f>IF($A499="","",IF($C499="Bubble Mailer",2,1)*'Material Costs'!$D$6)</f>
        <v/>
      </c>
      <c r="G499" s="9" t="str">
        <f>IF($A499="","",1*'Material Costs'!$D$7)</f>
        <v/>
      </c>
      <c r="H499" s="9" t="str">
        <f>IF($A499="","",IF($C499="Bubble Mailer",1,0)*'Material Costs'!$D$5)</f>
        <v/>
      </c>
      <c r="I499" s="9" t="str">
        <f>IF($A499="","",IF($C499="ESE (Ding Defend)",1,0)*'Material Costs'!$D$4)</f>
        <v/>
      </c>
      <c r="J499" s="9"/>
      <c r="K499" s="9" t="str">
        <f t="shared" si="63"/>
        <v/>
      </c>
      <c r="L499" s="9"/>
      <c r="M499" s="9"/>
      <c r="N499" s="9"/>
      <c r="O499" s="9" t="str">
        <f t="shared" si="64"/>
        <v/>
      </c>
      <c r="P499" s="9"/>
      <c r="Q499" s="9" t="str">
        <f>IF($A499="","",IF($O499="", "", ROUND($O499*Settings!$B$2+Settings!$B$3,2)))</f>
        <v/>
      </c>
      <c r="R499" s="9" t="str">
        <f>IF($A499="","",IF($L499="", "", Settings!$B$4))</f>
        <v/>
      </c>
      <c r="S499" s="9" t="str">
        <f t="shared" si="65"/>
        <v/>
      </c>
      <c r="T499" s="9" t="str">
        <f t="shared" si="66"/>
        <v/>
      </c>
      <c r="U499" s="9" t="str">
        <f>IF($A499="","",IF($K499="", "", ROUND((($K499 + Settings!$B$3 + $R499) - IF($M499="",0,$M499))/(1-Settings!$B$2),2)))</f>
        <v/>
      </c>
      <c r="V499" s="9" t="str">
        <f>IF($A499="","",$L499-($L499*Settings!$B$2)-$J499-($B499+SUM($D499:$I499)))</f>
        <v/>
      </c>
      <c r="W499" s="9" t="str">
        <f>IF($A499="","",(($B499+SUM($D499:$I499)+$J499+Settings!$B$3)/(1-Settings!$B$2))-$M499)</f>
        <v/>
      </c>
      <c r="X499" s="10" t="str">
        <f t="shared" si="67"/>
        <v/>
      </c>
      <c r="Y499" s="10" t="str">
        <f t="shared" si="68"/>
        <v/>
      </c>
      <c r="Z499" s="10" t="str">
        <f t="shared" si="69"/>
        <v/>
      </c>
      <c r="AA499" s="10" t="str">
        <f t="shared" si="70"/>
        <v/>
      </c>
      <c r="AC499" s="11"/>
      <c r="AD499" s="11"/>
      <c r="AE499" s="12" t="str">
        <f t="shared" si="71"/>
        <v/>
      </c>
    </row>
    <row r="500" spans="1:31" x14ac:dyDescent="0.25">
      <c r="B500" s="9"/>
      <c r="C500" t="s">
        <v>31</v>
      </c>
      <c r="D500" s="9" t="str">
        <f>IF($A500="","",1*'Material Costs'!$D$3)</f>
        <v/>
      </c>
      <c r="E500" s="9" t="str">
        <f>IF($A500="","",1*'Material Costs'!$D$2)</f>
        <v/>
      </c>
      <c r="F500" s="9" t="str">
        <f>IF($A500="","",IF($C500="Bubble Mailer",2,1)*'Material Costs'!$D$6)</f>
        <v/>
      </c>
      <c r="G500" s="9" t="str">
        <f>IF($A500="","",1*'Material Costs'!$D$7)</f>
        <v/>
      </c>
      <c r="H500" s="9" t="str">
        <f>IF($A500="","",IF($C500="Bubble Mailer",1,0)*'Material Costs'!$D$5)</f>
        <v/>
      </c>
      <c r="I500" s="9" t="str">
        <f>IF($A500="","",IF($C500="ESE (Ding Defend)",1,0)*'Material Costs'!$D$4)</f>
        <v/>
      </c>
      <c r="J500" s="9"/>
      <c r="K500" s="9" t="str">
        <f t="shared" si="63"/>
        <v/>
      </c>
      <c r="L500" s="9"/>
      <c r="M500" s="9"/>
      <c r="N500" s="9"/>
      <c r="O500" s="9" t="str">
        <f t="shared" si="64"/>
        <v/>
      </c>
      <c r="P500" s="9"/>
      <c r="Q500" s="9" t="str">
        <f>IF($A500="","",IF($O500="", "", ROUND($O500*Settings!$B$2+Settings!$B$3,2)))</f>
        <v/>
      </c>
      <c r="R500" s="9" t="str">
        <f>IF($A500="","",IF($L500="", "", Settings!$B$4))</f>
        <v/>
      </c>
      <c r="S500" s="9" t="str">
        <f t="shared" si="65"/>
        <v/>
      </c>
      <c r="T500" s="9" t="str">
        <f t="shared" si="66"/>
        <v/>
      </c>
      <c r="U500" s="9" t="str">
        <f>IF($A500="","",IF($K500="", "", ROUND((($K500 + Settings!$B$3 + $R500) - IF($M500="",0,$M500))/(1-Settings!$B$2),2)))</f>
        <v/>
      </c>
      <c r="V500" s="9" t="str">
        <f>IF($A500="","",$L500-($L500*Settings!$B$2)-$J500-($B500+SUM($D500:$I500)))</f>
        <v/>
      </c>
      <c r="W500" s="9" t="str">
        <f>IF($A500="","",(($B500+SUM($D500:$I500)+$J500+Settings!$B$3)/(1-Settings!$B$2))-$M500)</f>
        <v/>
      </c>
      <c r="X500" s="10" t="str">
        <f t="shared" si="67"/>
        <v/>
      </c>
      <c r="Y500" s="10" t="str">
        <f t="shared" si="68"/>
        <v/>
      </c>
      <c r="Z500" s="10" t="str">
        <f t="shared" si="69"/>
        <v/>
      </c>
      <c r="AA500" s="10" t="str">
        <f t="shared" si="70"/>
        <v/>
      </c>
      <c r="AC500" s="11"/>
      <c r="AD500" s="11"/>
      <c r="AE500" s="12" t="str">
        <f t="shared" si="71"/>
        <v/>
      </c>
    </row>
    <row r="501" spans="1:31" x14ac:dyDescent="0.25">
      <c r="B501" s="9"/>
      <c r="C501" t="s">
        <v>31</v>
      </c>
      <c r="D501" s="9" t="str">
        <f>IF($A501="","",1*'Material Costs'!$D$3)</f>
        <v/>
      </c>
      <c r="E501" s="9" t="str">
        <f>IF($A501="","",1*'Material Costs'!$D$2)</f>
        <v/>
      </c>
      <c r="F501" s="9" t="str">
        <f>IF($A501="","",IF($C501="Bubble Mailer",2,1)*'Material Costs'!$D$6)</f>
        <v/>
      </c>
      <c r="G501" s="9" t="str">
        <f>IF($A501="","",1*'Material Costs'!$D$7)</f>
        <v/>
      </c>
      <c r="H501" s="9" t="str">
        <f>IF($A501="","",IF($C501="Bubble Mailer",1,0)*'Material Costs'!$D$5)</f>
        <v/>
      </c>
      <c r="I501" s="9" t="str">
        <f>IF($A501="","",IF($C501="ESE (Ding Defend)",1,0)*'Material Costs'!$D$4)</f>
        <v/>
      </c>
      <c r="J501" s="9"/>
      <c r="K501" s="9" t="str">
        <f t="shared" si="63"/>
        <v/>
      </c>
      <c r="L501" s="9"/>
      <c r="M501" s="9"/>
      <c r="N501" s="9"/>
      <c r="O501" s="9" t="str">
        <f t="shared" si="64"/>
        <v/>
      </c>
      <c r="P501" s="9"/>
      <c r="Q501" s="9" t="str">
        <f>IF($A501="","",IF($O501="", "", ROUND($O501*Settings!$B$2+Settings!$B$3,2)))</f>
        <v/>
      </c>
      <c r="R501" s="9" t="str">
        <f>IF($A501="","",IF($L501="", "", Settings!$B$4))</f>
        <v/>
      </c>
      <c r="S501" s="9" t="str">
        <f t="shared" si="65"/>
        <v/>
      </c>
      <c r="T501" s="9" t="str">
        <f t="shared" si="66"/>
        <v/>
      </c>
      <c r="U501" s="9" t="str">
        <f>IF($A501="","",IF($K501="", "", ROUND((($K501 + Settings!$B$3 + $R501) - IF($M501="",0,$M501))/(1-Settings!$B$2),2)))</f>
        <v/>
      </c>
      <c r="V501" s="9" t="str">
        <f>IF($A501="","",$L501-($L501*Settings!$B$2)-$J501-($B501+SUM($D501:$I501)))</f>
        <v/>
      </c>
      <c r="W501" s="9" t="str">
        <f>IF($A501="","",(($B501+SUM($D501:$I501)+$J501+Settings!$B$3)/(1-Settings!$B$2))-$M501)</f>
        <v/>
      </c>
      <c r="X501" s="10" t="str">
        <f t="shared" si="67"/>
        <v/>
      </c>
      <c r="Y501" s="10" t="str">
        <f t="shared" si="68"/>
        <v/>
      </c>
      <c r="Z501" s="10" t="str">
        <f t="shared" si="69"/>
        <v/>
      </c>
      <c r="AA501" s="10" t="str">
        <f t="shared" si="70"/>
        <v/>
      </c>
      <c r="AC501" s="11"/>
      <c r="AD501" s="11"/>
      <c r="AE501" s="12" t="str">
        <f t="shared" si="71"/>
        <v/>
      </c>
    </row>
    <row r="502" spans="1:31" ht="285" x14ac:dyDescent="0.25">
      <c r="A502" s="1" t="s">
        <v>32</v>
      </c>
      <c r="B502" s="3" t="s">
        <v>33</v>
      </c>
      <c r="D502" s="9">
        <f>IF($A502="","",1*'Material Costs'!$D$3)</f>
        <v>1.7160000000000002E-2</v>
      </c>
      <c r="E502" s="9">
        <f>IF($A502="","",1*'Material Costs'!$D$2)</f>
        <v>0.1699</v>
      </c>
      <c r="F502" s="9">
        <f>IF($A502="","",IF($C502="Bubble Mailer",2,1)*'Material Costs'!$D$6)</f>
        <v>0.17119999999999999</v>
      </c>
      <c r="G502" s="9">
        <f>IF($A502="","",1*'Material Costs'!$D$7)</f>
        <v>5.2499999999999998E-2</v>
      </c>
      <c r="H502" s="9">
        <f>IF($A502="","",IF($C502="Bubble Mailer",1,0)*'Material Costs'!$D$5)</f>
        <v>0</v>
      </c>
      <c r="I502" s="9">
        <f>IF($A502="","",IF($C502="ESE (Ding Defend)",1,0)*'Material Costs'!$D$4)</f>
        <v>0</v>
      </c>
      <c r="K502" s="9">
        <f t="shared" si="63"/>
        <v>0.41076000000000001</v>
      </c>
      <c r="O502" s="9">
        <f t="shared" si="64"/>
        <v>0</v>
      </c>
      <c r="Q502" s="9">
        <f>IF($A502="","",IF($O502="", "", ROUND($O502*Settings!$B$2+Settings!$B$3,2)))</f>
        <v>0.3</v>
      </c>
      <c r="R502" s="9" t="str">
        <f>IF($A502="","",IF($L502="", "", Settings!$B$4))</f>
        <v/>
      </c>
      <c r="S502" s="9" t="e">
        <f t="shared" si="65"/>
        <v>#VALUE!</v>
      </c>
      <c r="T502" s="9" t="e">
        <f t="shared" si="66"/>
        <v>#VALUE!</v>
      </c>
      <c r="U502" s="9" t="e">
        <f>IF($A502="","",IF($K502="", "", ROUND((($K502 + Settings!$B$3 + $R502) - IF($M502="",0,$M502))/(1-Settings!$B$2),2)))</f>
        <v>#VALUE!</v>
      </c>
      <c r="X502" s="10" t="str">
        <f t="shared" si="67"/>
        <v/>
      </c>
      <c r="Y502" s="10" t="str">
        <f t="shared" si="68"/>
        <v/>
      </c>
      <c r="Z502" s="10" t="str">
        <f t="shared" si="69"/>
        <v/>
      </c>
      <c r="AA502" s="10" t="str">
        <f t="shared" si="70"/>
        <v/>
      </c>
      <c r="AC502" s="11"/>
      <c r="AD502" s="11"/>
      <c r="AE502" s="12" t="str">
        <f t="shared" si="71"/>
        <v/>
      </c>
    </row>
  </sheetData>
  <dataValidations count="2">
    <dataValidation type="decimal" operator="greaterThanOrEqual" allowBlank="1" sqref="Q2:Q500 O2:O500 L2:M500" xr:uid="{00000000-0002-0000-0000-000000000000}">
      <formula1>0</formula1>
    </dataValidation>
    <dataValidation type="list" allowBlank="1" sqref="C2:C501" xr:uid="{00000000-0002-0000-0000-000001000000}">
      <formula1>"ESE (Ding Defend),Bubble Mailer,Other/Manual"</formula1>
    </dataValidation>
  </dataValidations>
  <pageMargins left="0.75" right="0.75" top="1" bottom="1" header="0.5" footer="0.5"/>
  <pageSetup paperSize="288" orientation="portrait" horizontalDpi="203" verticalDpi="203"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10"/>
  <sheetViews>
    <sheetView workbookViewId="0">
      <pane ySplit="1" topLeftCell="A2" activePane="bottomLeft" state="frozen"/>
      <selection pane="bottomLeft"/>
    </sheetView>
  </sheetViews>
  <sheetFormatPr defaultRowHeight="15" x14ac:dyDescent="0.25"/>
  <cols>
    <col min="1" max="1" width="44" customWidth="1"/>
    <col min="2" max="3" width="12" customWidth="1"/>
    <col min="4" max="4" width="20" customWidth="1"/>
    <col min="5" max="5" width="22" customWidth="1"/>
  </cols>
  <sheetData>
    <row r="1" spans="1:5" x14ac:dyDescent="0.25">
      <c r="A1" s="4" t="s">
        <v>34</v>
      </c>
      <c r="B1" s="4" t="s">
        <v>35</v>
      </c>
      <c r="C1" s="4" t="s">
        <v>36</v>
      </c>
      <c r="D1" s="4" t="s">
        <v>37</v>
      </c>
      <c r="E1" s="4" t="s">
        <v>38</v>
      </c>
    </row>
    <row r="2" spans="1:5" x14ac:dyDescent="0.25">
      <c r="A2" s="5" t="s">
        <v>39</v>
      </c>
      <c r="B2" s="6">
        <v>200</v>
      </c>
      <c r="C2" s="7">
        <v>33.979999999999997</v>
      </c>
      <c r="D2" s="7">
        <v>0.1699</v>
      </c>
      <c r="E2" s="7">
        <v>0.17</v>
      </c>
    </row>
    <row r="3" spans="1:5" x14ac:dyDescent="0.25">
      <c r="A3" s="5" t="s">
        <v>40</v>
      </c>
      <c r="B3" s="6">
        <v>500</v>
      </c>
      <c r="C3" s="7">
        <v>8.58</v>
      </c>
      <c r="D3" s="7">
        <v>1.7160000000000002E-2</v>
      </c>
      <c r="E3" s="7">
        <v>0.02</v>
      </c>
    </row>
    <row r="4" spans="1:5" x14ac:dyDescent="0.25">
      <c r="A4" s="5" t="s">
        <v>41</v>
      </c>
      <c r="B4" s="6">
        <v>110</v>
      </c>
      <c r="C4" s="7">
        <v>24.97</v>
      </c>
      <c r="D4" s="7">
        <v>0.22700000000000001</v>
      </c>
      <c r="E4" s="7">
        <v>0.23</v>
      </c>
    </row>
    <row r="5" spans="1:5" x14ac:dyDescent="0.25">
      <c r="A5" s="5" t="s">
        <v>42</v>
      </c>
      <c r="B5" s="6">
        <v>50</v>
      </c>
      <c r="C5" s="7">
        <v>9.8800000000000008</v>
      </c>
      <c r="D5" s="7">
        <v>0.1976</v>
      </c>
      <c r="E5" s="7">
        <v>0.2</v>
      </c>
    </row>
    <row r="6" spans="1:5" x14ac:dyDescent="0.25">
      <c r="A6" s="5" t="s">
        <v>43</v>
      </c>
      <c r="B6" s="6">
        <v>50</v>
      </c>
      <c r="C6" s="7">
        <v>8.56</v>
      </c>
      <c r="D6" s="7">
        <v>0.17119999999999999</v>
      </c>
      <c r="E6" s="7">
        <v>0.17</v>
      </c>
    </row>
    <row r="7" spans="1:5" x14ac:dyDescent="0.25">
      <c r="A7" s="5" t="s">
        <v>44</v>
      </c>
      <c r="B7" s="6">
        <v>100</v>
      </c>
      <c r="C7" s="7">
        <v>5.25</v>
      </c>
      <c r="D7" s="7">
        <v>5.2499999999999998E-2</v>
      </c>
      <c r="E7" s="7">
        <v>0.05</v>
      </c>
    </row>
    <row r="8" spans="1:5" x14ac:dyDescent="0.25">
      <c r="A8" s="5" t="s">
        <v>45</v>
      </c>
      <c r="B8" s="6">
        <v>300</v>
      </c>
      <c r="C8" s="7">
        <v>7.99</v>
      </c>
      <c r="D8" s="7">
        <v>2.6633333333333339E-2</v>
      </c>
      <c r="E8" s="7">
        <v>0.03</v>
      </c>
    </row>
    <row r="10" spans="1:5" x14ac:dyDescent="0.25">
      <c r="A10" s="18" t="s">
        <v>46</v>
      </c>
      <c r="B10" s="19"/>
      <c r="C10" s="19"/>
      <c r="D10" s="19"/>
      <c r="E10" s="19"/>
    </row>
  </sheetData>
  <mergeCells count="1">
    <mergeCell ref="A10:E10"/>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4"/>
  <sheetViews>
    <sheetView workbookViewId="0">
      <pane ySplit="1" topLeftCell="A2" activePane="bottomLeft" state="frozen"/>
      <selection pane="bottomLeft"/>
    </sheetView>
  </sheetViews>
  <sheetFormatPr defaultRowHeight="15" x14ac:dyDescent="0.25"/>
  <cols>
    <col min="1" max="1" width="34" customWidth="1"/>
    <col min="2" max="2" width="18" customWidth="1"/>
    <col min="3" max="3" width="76" customWidth="1"/>
  </cols>
  <sheetData>
    <row r="1" spans="1:3" x14ac:dyDescent="0.25">
      <c r="A1" s="4" t="s">
        <v>47</v>
      </c>
      <c r="B1" s="4" t="s">
        <v>48</v>
      </c>
      <c r="C1" s="4" t="s">
        <v>27</v>
      </c>
    </row>
    <row r="2" spans="1:3" x14ac:dyDescent="0.25">
      <c r="A2" s="5" t="s">
        <v>49</v>
      </c>
      <c r="B2" s="8">
        <v>0.13250000000000001</v>
      </c>
      <c r="C2" s="5" t="s">
        <v>50</v>
      </c>
    </row>
    <row r="3" spans="1:3" x14ac:dyDescent="0.25">
      <c r="A3" s="5" t="s">
        <v>51</v>
      </c>
      <c r="B3" s="7">
        <v>0.3</v>
      </c>
      <c r="C3" s="5" t="s">
        <v>52</v>
      </c>
    </row>
    <row r="4" spans="1:3" ht="30" x14ac:dyDescent="0.25">
      <c r="A4" s="5" t="s">
        <v>53</v>
      </c>
      <c r="B4" s="7">
        <v>0.25</v>
      </c>
      <c r="C4" s="5" t="s">
        <v>54</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Per Card Cost</vt:lpstr>
      <vt:lpstr>Material Costs</vt:lpstr>
      <vt:lpstr>Settings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Scott Pierce</cp:lastModifiedBy>
  <dcterms:created xsi:type="dcterms:W3CDTF">2026-02-15T19:12:42Z</dcterms:created>
  <dcterms:modified xsi:type="dcterms:W3CDTF">2026-02-19T17:41:32Z</dcterms:modified>
</cp:coreProperties>
</file>